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uofstthomasmn-my.sharepoint.com/personal/lee06265_stthomas_edu/Documents/Documents/FantasyBaseball/"/>
    </mc:Choice>
  </mc:AlternateContent>
  <xr:revisionPtr revIDLastSave="94" documentId="13_ncr:1_{655615AF-88C7-3048-A5E3-987304C97733}" xr6:coauthVersionLast="47" xr6:coauthVersionMax="47" xr10:uidLastSave="{43CBDB7F-614B-5347-8B24-B1BD3ED9D7FD}"/>
  <bookViews>
    <workbookView xWindow="43095" yWindow="0" windowWidth="14610" windowHeight="7845" activeTab="3" xr2:uid="{8150C767-D3C1-FD4A-9ACA-FC2795B3B64E}"/>
  </bookViews>
  <sheets>
    <sheet name="2024 Scores" sheetId="1" r:id="rId1"/>
    <sheet name="2023 Scores" sheetId="3" r:id="rId2"/>
    <sheet name="Scores Analysis" sheetId="4" r:id="rId3"/>
    <sheet name="Replacement Level FPts" sheetId="5" r:id="rId4"/>
  </sheets>
  <definedNames>
    <definedName name="_xlchart.v1.0" hidden="1">'Scores Analysis'!$B$2:$B$20</definedName>
    <definedName name="_xlchart.v1.1" hidden="1">'Scores Analysis'!$C$2:$C$20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7" i="5" l="1"/>
  <c r="M9" i="5"/>
  <c r="M10" i="5"/>
  <c r="M11" i="5"/>
  <c r="L11" i="5"/>
  <c r="L10" i="5"/>
  <c r="L9" i="5"/>
  <c r="L8" i="5"/>
  <c r="M8" i="5" s="1"/>
  <c r="L7" i="5"/>
  <c r="L6" i="5"/>
  <c r="M6" i="5" s="1"/>
  <c r="L5" i="5"/>
  <c r="M5" i="5" s="1"/>
  <c r="L4" i="5"/>
  <c r="M4" i="5" s="1"/>
  <c r="L3" i="5"/>
  <c r="M3" i="5" s="1"/>
  <c r="D15" i="5"/>
  <c r="D14" i="5"/>
  <c r="D16" i="5" s="1"/>
  <c r="I4" i="5"/>
  <c r="I3" i="5"/>
  <c r="D4" i="5"/>
  <c r="D3" i="5"/>
  <c r="B22" i="4"/>
  <c r="L39" i="3"/>
  <c r="K39" i="3"/>
  <c r="I39" i="3"/>
  <c r="H39" i="3"/>
  <c r="F39" i="3"/>
  <c r="E39" i="3"/>
  <c r="C39" i="3"/>
  <c r="B39" i="3"/>
  <c r="L38" i="3"/>
  <c r="K38" i="3"/>
  <c r="C20" i="4" s="1"/>
  <c r="I38" i="3"/>
  <c r="H38" i="3"/>
  <c r="C19" i="4" s="1"/>
  <c r="F38" i="3"/>
  <c r="E38" i="3"/>
  <c r="C18" i="4" s="1"/>
  <c r="C38" i="3"/>
  <c r="B38" i="3"/>
  <c r="C17" i="4" s="1"/>
  <c r="O29" i="3"/>
  <c r="N29" i="3"/>
  <c r="L29" i="3"/>
  <c r="K29" i="3"/>
  <c r="I29" i="3"/>
  <c r="H29" i="3"/>
  <c r="F29" i="3"/>
  <c r="E29" i="3"/>
  <c r="C29" i="3"/>
  <c r="B29" i="3"/>
  <c r="O28" i="3"/>
  <c r="N28" i="3"/>
  <c r="C16" i="4" s="1"/>
  <c r="L28" i="3"/>
  <c r="K28" i="3"/>
  <c r="C15" i="4" s="1"/>
  <c r="I28" i="3"/>
  <c r="H28" i="3"/>
  <c r="C14" i="4" s="1"/>
  <c r="F28" i="3"/>
  <c r="E28" i="3"/>
  <c r="C13" i="4" s="1"/>
  <c r="C28" i="3"/>
  <c r="B28" i="3"/>
  <c r="C12" i="4" s="1"/>
  <c r="O19" i="3"/>
  <c r="N19" i="3"/>
  <c r="L19" i="3"/>
  <c r="K19" i="3"/>
  <c r="I19" i="3"/>
  <c r="H19" i="3"/>
  <c r="F19" i="3"/>
  <c r="E19" i="3"/>
  <c r="C19" i="3"/>
  <c r="B19" i="3"/>
  <c r="O18" i="3"/>
  <c r="N18" i="3"/>
  <c r="C11" i="4" s="1"/>
  <c r="L18" i="3"/>
  <c r="K18" i="3"/>
  <c r="C10" i="4" s="1"/>
  <c r="I18" i="3"/>
  <c r="H18" i="3"/>
  <c r="C9" i="4" s="1"/>
  <c r="F18" i="3"/>
  <c r="E18" i="3"/>
  <c r="C8" i="4" s="1"/>
  <c r="C18" i="3"/>
  <c r="B18" i="3"/>
  <c r="C7" i="4" s="1"/>
  <c r="O9" i="3"/>
  <c r="N9" i="3"/>
  <c r="L9" i="3"/>
  <c r="K9" i="3"/>
  <c r="I9" i="3"/>
  <c r="H9" i="3"/>
  <c r="F9" i="3"/>
  <c r="E9" i="3"/>
  <c r="C9" i="3"/>
  <c r="B9" i="3"/>
  <c r="O8" i="3"/>
  <c r="N8" i="3"/>
  <c r="C6" i="4" s="1"/>
  <c r="L8" i="3"/>
  <c r="K8" i="3"/>
  <c r="C5" i="4" s="1"/>
  <c r="I8" i="3"/>
  <c r="H8" i="3"/>
  <c r="C4" i="4" s="1"/>
  <c r="F8" i="3"/>
  <c r="E8" i="3"/>
  <c r="C3" i="4" s="1"/>
  <c r="C8" i="3"/>
  <c r="B8" i="3"/>
  <c r="C2" i="4" s="1"/>
  <c r="L39" i="1"/>
  <c r="K39" i="1"/>
  <c r="L38" i="1"/>
  <c r="K38" i="1"/>
  <c r="B20" i="4" s="1"/>
  <c r="N29" i="1"/>
  <c r="I39" i="1"/>
  <c r="H39" i="1"/>
  <c r="I38" i="1"/>
  <c r="H38" i="1"/>
  <c r="B19" i="4" s="1"/>
  <c r="F39" i="1"/>
  <c r="E39" i="1"/>
  <c r="F38" i="1"/>
  <c r="E38" i="1"/>
  <c r="B18" i="4" s="1"/>
  <c r="C39" i="1"/>
  <c r="B39" i="1"/>
  <c r="C38" i="1"/>
  <c r="B38" i="1"/>
  <c r="B17" i="4" s="1"/>
  <c r="O29" i="1"/>
  <c r="O28" i="1"/>
  <c r="N28" i="1"/>
  <c r="B16" i="4" s="1"/>
  <c r="L29" i="1"/>
  <c r="K29" i="1"/>
  <c r="L28" i="1"/>
  <c r="K28" i="1"/>
  <c r="B15" i="4" s="1"/>
  <c r="I29" i="1"/>
  <c r="H29" i="1"/>
  <c r="I28" i="1"/>
  <c r="H28" i="1"/>
  <c r="B14" i="4" s="1"/>
  <c r="F29" i="1"/>
  <c r="E29" i="1"/>
  <c r="F28" i="1"/>
  <c r="E28" i="1"/>
  <c r="B13" i="4" s="1"/>
  <c r="C29" i="1"/>
  <c r="B29" i="1"/>
  <c r="C28" i="1"/>
  <c r="B28" i="1"/>
  <c r="B12" i="4" s="1"/>
  <c r="O19" i="1"/>
  <c r="N19" i="1"/>
  <c r="O18" i="1"/>
  <c r="N18" i="1"/>
  <c r="B11" i="4" s="1"/>
  <c r="L19" i="1"/>
  <c r="K19" i="1"/>
  <c r="L18" i="1"/>
  <c r="K18" i="1"/>
  <c r="B10" i="4" s="1"/>
  <c r="I19" i="1"/>
  <c r="H19" i="1"/>
  <c r="I18" i="1"/>
  <c r="H18" i="1"/>
  <c r="B9" i="4" s="1"/>
  <c r="F19" i="1"/>
  <c r="E19" i="1"/>
  <c r="F18" i="1"/>
  <c r="E18" i="1"/>
  <c r="B8" i="4" s="1"/>
  <c r="C19" i="1"/>
  <c r="B19" i="1"/>
  <c r="C18" i="1"/>
  <c r="B18" i="1"/>
  <c r="B7" i="4" s="1"/>
  <c r="O9" i="1"/>
  <c r="N9" i="1"/>
  <c r="O8" i="1"/>
  <c r="N8" i="1"/>
  <c r="B6" i="4" s="1"/>
  <c r="L9" i="1"/>
  <c r="K9" i="1"/>
  <c r="L8" i="1"/>
  <c r="K8" i="1"/>
  <c r="B5" i="4" s="1"/>
  <c r="I9" i="1"/>
  <c r="H9" i="1"/>
  <c r="I8" i="1"/>
  <c r="H8" i="1"/>
  <c r="B4" i="4" s="1"/>
  <c r="F9" i="1"/>
  <c r="E9" i="1"/>
  <c r="F8" i="1"/>
  <c r="E8" i="1"/>
  <c r="B3" i="4" s="1"/>
  <c r="B8" i="1"/>
  <c r="B2" i="4" s="1"/>
  <c r="C8" i="1"/>
  <c r="B9" i="1"/>
  <c r="C9" i="1"/>
  <c r="L14" i="5" l="1"/>
  <c r="M14" i="5" s="1"/>
  <c r="L13" i="5"/>
  <c r="M13" i="5" s="1"/>
  <c r="I5" i="5"/>
  <c r="D5" i="5"/>
  <c r="O31" i="1"/>
  <c r="C22" i="4"/>
  <c r="C21" i="4"/>
  <c r="B21" i="4"/>
  <c r="C24" i="4" s="1"/>
  <c r="O31" i="3"/>
  <c r="O32" i="3"/>
  <c r="O32" i="1"/>
  <c r="L15" i="5" l="1"/>
  <c r="M15" i="5" s="1"/>
  <c r="C25" i="4"/>
</calcChain>
</file>

<file path=xl/sharedStrings.xml><?xml version="1.0" encoding="utf-8"?>
<sst xmlns="http://schemas.openxmlformats.org/spreadsheetml/2006/main" count="501" uniqueCount="54">
  <si>
    <t>Week 1</t>
  </si>
  <si>
    <t>Winner Score</t>
  </si>
  <si>
    <t>Loser Score</t>
  </si>
  <si>
    <t>Week 2</t>
  </si>
  <si>
    <t>Week 3</t>
  </si>
  <si>
    <t>Week 4</t>
  </si>
  <si>
    <t>Week 5</t>
  </si>
  <si>
    <t>Matchup 1</t>
  </si>
  <si>
    <t>Matchup 2</t>
  </si>
  <si>
    <t>Matchup 3</t>
  </si>
  <si>
    <t>Matchup 4</t>
  </si>
  <si>
    <t>Matchup 5</t>
  </si>
  <si>
    <t>Matchup 6</t>
  </si>
  <si>
    <t>Average</t>
  </si>
  <si>
    <t>Total</t>
  </si>
  <si>
    <t>Week 6</t>
  </si>
  <si>
    <t>Week 7</t>
  </si>
  <si>
    <t>Week 8</t>
  </si>
  <si>
    <t>Week 9</t>
  </si>
  <si>
    <t>Week 10</t>
  </si>
  <si>
    <t>Week 11</t>
  </si>
  <si>
    <t>Week 12</t>
  </si>
  <si>
    <t>Week 13</t>
  </si>
  <si>
    <t>Week 14</t>
  </si>
  <si>
    <t>Week 15</t>
  </si>
  <si>
    <t>Week 16</t>
  </si>
  <si>
    <t>Week 17</t>
  </si>
  <si>
    <t>Week 18</t>
  </si>
  <si>
    <t>Week 19</t>
  </si>
  <si>
    <t>WINNER AVG SCORE</t>
  </si>
  <si>
    <t>LOSER AVG SCORE</t>
  </si>
  <si>
    <t>Weeks</t>
  </si>
  <si>
    <t>2024 Scores</t>
  </si>
  <si>
    <t>2023 Scores</t>
  </si>
  <si>
    <t>AVG Winner Score:</t>
  </si>
  <si>
    <t>AVG Winner Score NO Outliers:</t>
  </si>
  <si>
    <t>Overall Average Winner Score:</t>
  </si>
  <si>
    <t>Overall Average Winner Score NO Outliers:</t>
  </si>
  <si>
    <t>C</t>
  </si>
  <si>
    <t>1B</t>
  </si>
  <si>
    <t>2B</t>
  </si>
  <si>
    <t>3B</t>
  </si>
  <si>
    <t>SS</t>
  </si>
  <si>
    <t>OF</t>
  </si>
  <si>
    <t>DH</t>
  </si>
  <si>
    <t>SP</t>
  </si>
  <si>
    <t>RP</t>
  </si>
  <si>
    <t>Number of Players of Fantasy Rosters by Position 2024</t>
  </si>
  <si>
    <t>Number of Players of Fantasy Rosters by Position 2023</t>
  </si>
  <si>
    <t>AVERAGE Number of Players of Fantasy Rosters by Position</t>
  </si>
  <si>
    <t>Hitters</t>
  </si>
  <si>
    <t>Pitchers</t>
  </si>
  <si>
    <t>Number of Players of Fantasy Rosters by Position 2025</t>
  </si>
  <si>
    <t>Replacement level (120% roundup)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</si>
</sst>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b/>
      <sz val="12"/>
      <color rgb="FFFF0000"/>
      <name val="Aptos Narrow"/>
      <scheme val="minor"/>
    </font>
    <font>
      <sz val="12"/>
      <color rgb="FFE56F31"/>
      <name val="Aptos Narrow"/>
      <scheme val="minor"/>
    </font>
    <font>
      <sz val="12"/>
      <color rgb="FFE56F31"/>
      <name val="Aptos Narrow"/>
      <family val="2"/>
      <scheme val="minor"/>
    </font>
    <font>
      <sz val="16"/>
      <color rgb="FFFF0000"/>
      <name val="Aptos Narrow"/>
      <family val="2"/>
      <scheme val="minor"/>
    </font>
    <font>
      <sz val="20"/>
      <color theme="1"/>
      <name val="Aptos Narrow"/>
      <family val="2"/>
      <scheme val="minor"/>
    </font>
    <font>
      <sz val="20"/>
      <color rgb="FFFF0000"/>
      <name val="Aptos Narrow"/>
      <family val="2"/>
      <scheme val="minor"/>
    </font>
    <font>
      <b/>
      <u/>
      <sz val="12"/>
      <color theme="1"/>
      <name val="Aptos Narrow"/>
      <family val="2"/>
      <scheme val="minor"/>
    </font>
    <font>
      <b/>
      <u/>
      <sz val="12"/>
      <color theme="1"/>
      <name val="Aptos Narrow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C1F1C8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double">
        <color theme="4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double">
        <color theme="4"/>
      </top>
      <bottom style="thin">
        <color theme="4" tint="0.39997558519241921"/>
      </bottom>
      <diagonal/>
    </border>
    <border>
      <left/>
      <right/>
      <top style="double">
        <color theme="4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theme="4" tint="0.39997558519241921"/>
      </left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4" fillId="0" borderId="0" xfId="0" applyFont="1"/>
    <xf numFmtId="0" fontId="5" fillId="0" borderId="5" xfId="0" applyFont="1" applyBorder="1"/>
    <xf numFmtId="0" fontId="5" fillId="0" borderId="4" xfId="0" applyFont="1" applyBorder="1"/>
    <xf numFmtId="0" fontId="6" fillId="0" borderId="6" xfId="0" applyFont="1" applyBorder="1"/>
    <xf numFmtId="0" fontId="2" fillId="0" borderId="0" xfId="0" applyFont="1"/>
    <xf numFmtId="0" fontId="6" fillId="0" borderId="0" xfId="0" applyFont="1"/>
    <xf numFmtId="0" fontId="0" fillId="4" borderId="0" xfId="0" applyFill="1"/>
    <xf numFmtId="0" fontId="1" fillId="2" borderId="7" xfId="0" applyFont="1" applyFill="1" applyBorder="1"/>
    <xf numFmtId="0" fontId="1" fillId="2" borderId="8" xfId="0" applyFont="1" applyFill="1" applyBorder="1"/>
    <xf numFmtId="0" fontId="1" fillId="2" borderId="9" xfId="0" applyFont="1" applyFill="1" applyBorder="1"/>
    <xf numFmtId="0" fontId="0" fillId="3" borderId="7" xfId="0" applyFill="1" applyBorder="1"/>
    <xf numFmtId="0" fontId="0" fillId="3" borderId="8" xfId="0" applyFill="1" applyBorder="1"/>
    <xf numFmtId="0" fontId="0" fillId="3" borderId="9" xfId="0" applyFill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7" fillId="3" borderId="9" xfId="0" applyFont="1" applyFill="1" applyBorder="1"/>
    <xf numFmtId="0" fontId="7" fillId="0" borderId="9" xfId="0" applyFont="1" applyBorder="1"/>
    <xf numFmtId="0" fontId="8" fillId="3" borderId="8" xfId="0" applyFont="1" applyFill="1" applyBorder="1"/>
    <xf numFmtId="0" fontId="8" fillId="0" borderId="8" xfId="0" applyFont="1" applyBorder="1"/>
    <xf numFmtId="0" fontId="9" fillId="0" borderId="10" xfId="0" applyFont="1" applyBorder="1"/>
    <xf numFmtId="0" fontId="9" fillId="0" borderId="0" xfId="0" applyFont="1"/>
    <xf numFmtId="0" fontId="10" fillId="0" borderId="0" xfId="0" applyFont="1"/>
    <xf numFmtId="0" fontId="10" fillId="4" borderId="0" xfId="0" applyFont="1" applyFill="1"/>
    <xf numFmtId="0" fontId="9" fillId="5" borderId="0" xfId="0" applyFont="1" applyFill="1"/>
    <xf numFmtId="0" fontId="11" fillId="5" borderId="0" xfId="0" applyFont="1" applyFill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12" fillId="0" borderId="0" xfId="0" applyFont="1" applyAlignment="1">
      <alignment horizontal="left"/>
    </xf>
    <xf numFmtId="0" fontId="13" fillId="0" borderId="0" xfId="0" applyFont="1" applyAlignment="1">
      <alignment vertical="top"/>
    </xf>
    <xf numFmtId="9" fontId="12" fillId="0" borderId="0" xfId="0" applyNumberFormat="1" applyFont="1" applyAlignment="1">
      <alignment horizontal="right"/>
    </xf>
  </cellXfs>
  <cellStyles count="1">
    <cellStyle name="Normal" xfId="0" builtinId="0"/>
  </cellStyles>
  <dxfs count="1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/>
      </font>
    </dxf>
    <dxf>
      <numFmt numFmtId="0" formatCode="General"/>
    </dxf>
  </dxfs>
  <tableStyles count="0" defaultTableStyle="TableStyleMedium2" defaultPivotStyle="PivotStyleLight16"/>
  <colors>
    <mruColors>
      <color rgb="FFE56F31"/>
      <color rgb="FFC1F1C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  <cx:data id="1">
      <cx:numDim type="val">
        <cx:f>_xlchart.v1.1</cx:f>
      </cx:numDim>
    </cx:data>
  </cx:chartData>
  <cx:chart>
    <cx:plotArea>
      <cx:plotAreaRegion>
        <cx:series layoutId="boxWhisker" uniqueId="{A38111D3-3A3D-214D-8567-6DE33FC4FD64}">
          <cx:tx>
            <cx:txData>
              <cx:f/>
              <cx:v>2024</cx:v>
            </cx:txData>
          </cx:tx>
          <cx:dataId val="0"/>
          <cx:layoutPr>
            <cx:statistics quartileMethod="exclusive"/>
          </cx:layoutPr>
        </cx:series>
        <cx:series layoutId="boxWhisker" uniqueId="{00000002-A332-4E4A-B0CF-7D1E22B9C28E}">
          <cx:tx>
            <cx:txData>
              <cx:f/>
              <cx:v>2023</cx:v>
            </cx:txData>
          </cx:tx>
          <cx:dataId val="1"/>
          <cx:layoutPr>
            <cx:statistics quartileMethod="exclusive"/>
          </cx:layoutPr>
        </cx:series>
      </cx:plotAreaRegion>
      <cx:axis id="0" hidden="1">
        <cx:catScaling gapWidth="1.5"/>
        <cx:tickLabels/>
      </cx:axis>
      <cx:axis id="1">
        <cx:valScaling/>
        <cx:title>
          <cx:tx>
            <cx:txData>
              <cx:v>Avarage Score for Winner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sz="1800"/>
              </a:pPr>
              <a:r>
                <a:rPr lang="en-US" sz="18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Avarage Score for Winner</a:t>
              </a:r>
            </a:p>
          </cx:txPr>
        </cx:title>
        <cx:majorGridlines/>
        <cx:majorTickMarks type="out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  <cx:legend pos="r" align="ctr" overlay="0">
      <cx:txPr>
        <a:bodyPr vertOverflow="overflow" horzOverflow="overflow" wrap="square" lIns="0" tIns="0" rIns="0" bIns="0"/>
        <a:lstStyle/>
        <a:p>
          <a:pPr algn="ctr" rtl="0">
            <a:defRPr sz="1200" b="0" i="0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/>
        </a:p>
      </cx:txPr>
    </cx:legend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31750</xdr:colOff>
      <xdr:row>0</xdr:row>
      <xdr:rowOff>12700</xdr:rowOff>
    </xdr:from>
    <xdr:to>
      <xdr:col>11</xdr:col>
      <xdr:colOff>742950</xdr:colOff>
      <xdr:row>34</xdr:row>
      <xdr:rowOff>12700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C461A912-7229-8AD6-DF0D-49BB2751EEF2}"/>
                </a:ext>
              </a:extLst>
            </xdr:cNvPr>
            <xdr:cNvGraphicFramePr>
              <a:graphicFrameLocks noChangeAspect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813425" y="12700"/>
              <a:ext cx="7416800" cy="7200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1E35426-BFA6-FC4B-A06C-4F980B4F1FB7}" name="Table1" displayName="Table1" ref="A1:C7">
  <autoFilter ref="A1:C7" xr:uid="{C1E35426-BFA6-FC4B-A06C-4F980B4F1FB7}">
    <filterColumn colId="0" hiddenButton="1"/>
    <filterColumn colId="1" hiddenButton="1"/>
    <filterColumn colId="2" hiddenButton="1"/>
  </autoFilter>
  <tableColumns count="3">
    <tableColumn id="1" xr3:uid="{90F26353-54F5-D04F-AE6F-FADEAF3B9130}" name="Week 1" totalsRowLabel="Total"/>
    <tableColumn id="2" xr3:uid="{5A09154C-989A-A94D-84E1-8A90CB0465BB}" name="Winner Score" totalsRowFunction="sum" dataDxfId="113" totalsRowDxfId="112"/>
    <tableColumn id="4" xr3:uid="{B5F75608-3A33-EB44-B8EF-E9B48F40B365}" name="Loser Score" totalsRowFunction="sum" totalsRowDxfId="11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D5F5C42-0133-4B43-B3B9-9FEEE0C3D228}" name="Table2" displayName="Table2" ref="D1:F7">
  <autoFilter ref="D1:F7" xr:uid="{1D5F5C42-0133-4B43-B3B9-9FEEE0C3D228}">
    <filterColumn colId="0" hiddenButton="1"/>
    <filterColumn colId="1" hiddenButton="1"/>
    <filterColumn colId="2" hiddenButton="1"/>
  </autoFilter>
  <tableColumns count="3">
    <tableColumn id="1" xr3:uid="{6E953369-8E22-F142-B18E-BCE3D7520899}" name="Week 2" totalsRowLabel="Total"/>
    <tableColumn id="2" xr3:uid="{7C3C6361-435D-2741-A0E8-9A7D76C238E6}" name="Winner Score" totalsRowFunction="sum" dataDxfId="110" totalsRowDxfId="109"/>
    <tableColumn id="4" xr3:uid="{282F4D41-24F9-204F-969D-1048EC815B75}" name="Loser Score" totalsRowFunction="sum" totalsRowDxfId="108"/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7A0230F-4236-4C42-B5BE-380F82F15449}" name="Table3" displayName="Table3" ref="G1:I7">
  <autoFilter ref="G1:I7" xr:uid="{A7A0230F-4236-4C42-B5BE-380F82F15449}">
    <filterColumn colId="0" hiddenButton="1"/>
    <filterColumn colId="1" hiddenButton="1"/>
    <filterColumn colId="2" hiddenButton="1"/>
  </autoFilter>
  <tableColumns count="3">
    <tableColumn id="1" xr3:uid="{2B3C3883-E504-5E4A-8F12-AC5E4063AF6F}" name="Week 3" totalsRowLabel="Total"/>
    <tableColumn id="2" xr3:uid="{C49AAC23-F82F-E04C-8F5D-BCE83778CA0F}" name="Winner Score" totalsRowFunction="sum" dataDxfId="107" totalsRowDxfId="106"/>
    <tableColumn id="4" xr3:uid="{BD01C54D-1F7E-A24A-9BDE-27F43D7A7DAA}" name="Loser Score" totalsRowFunction="sum" totalsRowDxfId="105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AF03F47-4F77-E649-908B-F7104181EBA3}" name="Table4" displayName="Table4" ref="J1:L7">
  <autoFilter ref="J1:L7" xr:uid="{5AF03F47-4F77-E649-908B-F7104181EBA3}">
    <filterColumn colId="0" hiddenButton="1"/>
    <filterColumn colId="1" hiddenButton="1"/>
    <filterColumn colId="2" hiddenButton="1"/>
  </autoFilter>
  <tableColumns count="3">
    <tableColumn id="1" xr3:uid="{C87387B3-29E4-B246-865A-B98720338C37}" name="Week 4" totalsRowLabel="Total"/>
    <tableColumn id="2" xr3:uid="{6244E677-6DBA-C846-B96C-9F9167C490E4}" name="Winner Score" totalsRowFunction="sum" dataDxfId="104" totalsRowDxfId="103"/>
    <tableColumn id="4" xr3:uid="{95E96AB0-EC56-2144-A30A-73070DDBC1B2}" name="Loser Score" totalsRowFunction="sum" totalsRowDxfId="102"/>
  </tableColumns>
  <tableStyleInfo name="TableStyleMedium3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D84AB02-6A35-D14F-8E93-CF7B69655D5E}" name="Table5" displayName="Table5" ref="M1:O7">
  <autoFilter ref="M1:O7" xr:uid="{6D84AB02-6A35-D14F-8E93-CF7B69655D5E}">
    <filterColumn colId="0" hiddenButton="1"/>
    <filterColumn colId="1" hiddenButton="1"/>
    <filterColumn colId="2" hiddenButton="1"/>
  </autoFilter>
  <tableColumns count="3">
    <tableColumn id="1" xr3:uid="{CD31DD4A-335D-4C4B-92C3-91E3036DDD42}" name="Week 5" totalsRowLabel="Total"/>
    <tableColumn id="2" xr3:uid="{32BC746E-3911-0E49-A18C-BB9CA72D0A71}" name="Winner Score" totalsRowFunction="sum" dataDxfId="101" totalsRowDxfId="100"/>
    <tableColumn id="4" xr3:uid="{81E9869C-63CD-9C46-970D-916EE502AEEC}" name="Loser Score" totalsRowFunction="sum" totalsRowDxfId="99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7C3D6C6-03E5-3142-A960-D2190F9F2470}" name="Table6" displayName="Table6" ref="A11:C17">
  <autoFilter ref="A11:C17" xr:uid="{17C3D6C6-03E5-3142-A960-D2190F9F2470}">
    <filterColumn colId="0" hiddenButton="1"/>
    <filterColumn colId="1" hiddenButton="1"/>
    <filterColumn colId="2" hiddenButton="1"/>
  </autoFilter>
  <tableColumns count="3">
    <tableColumn id="1" xr3:uid="{FF93BE83-FAAC-6347-9FAA-CECE3A1FF884}" name="Week 6" totalsRowLabel="Total"/>
    <tableColumn id="2" xr3:uid="{FEE1B331-B21B-5648-978D-22AD2F680496}" name="Winner Score" totalsRowFunction="sum" dataDxfId="98" totalsRowDxfId="97"/>
    <tableColumn id="4" xr3:uid="{1FB94529-B6B0-E04B-993D-B3287D845985}" name="Loser Score" totalsRowFunction="sum" totalsRowDxfId="96"/>
  </tableColumns>
  <tableStyleInfo name="TableStyleMedium3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C18C64B-83E4-F54A-A546-2634F7CD3A43}" name="Table7" displayName="Table7" ref="D11:F17">
  <autoFilter ref="D11:F17" xr:uid="{1C18C64B-83E4-F54A-A546-2634F7CD3A43}">
    <filterColumn colId="0" hiddenButton="1"/>
    <filterColumn colId="1" hiddenButton="1"/>
    <filterColumn colId="2" hiddenButton="1"/>
  </autoFilter>
  <tableColumns count="3">
    <tableColumn id="1" xr3:uid="{776C4422-9710-A54A-A880-7B402C5B653A}" name="Week 7" totalsRowLabel="Total"/>
    <tableColumn id="2" xr3:uid="{49CC3F7E-D285-1C4F-9982-716DFF68498A}" name="Winner Score" totalsRowFunction="sum" dataDxfId="95" totalsRowDxfId="94"/>
    <tableColumn id="4" xr3:uid="{631A9916-D109-9E4E-B676-1EF2B71A4F85}" name="Loser Score" totalsRowFunction="sum" totalsRowDxfId="93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407ABFA-1C92-9E4C-8D0A-C33ECFEB9B4C}" name="Table8" displayName="Table8" ref="G11:I17">
  <autoFilter ref="G11:I17" xr:uid="{3407ABFA-1C92-9E4C-8D0A-C33ECFEB9B4C}">
    <filterColumn colId="0" hiddenButton="1"/>
    <filterColumn colId="1" hiddenButton="1"/>
    <filterColumn colId="2" hiddenButton="1"/>
  </autoFilter>
  <tableColumns count="3">
    <tableColumn id="1" xr3:uid="{3E41C057-3294-994E-AC8E-6DF694705BF6}" name="Week 8" totalsRowLabel="Total"/>
    <tableColumn id="2" xr3:uid="{830BA295-A8FB-784B-86F5-741B7DA6A0DF}" name="Winner Score" totalsRowFunction="sum" dataDxfId="92" totalsRowDxfId="91"/>
    <tableColumn id="4" xr3:uid="{58E98C1B-B816-8845-ADEE-B9B003864967}" name="Loser Score" totalsRowFunction="sum" totalsRowDxfId="90"/>
  </tableColumns>
  <tableStyleInfo name="TableStyleMedium3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5321D92F-6A98-9B47-BF1F-306AFF9085BC}" name="Table9" displayName="Table9" ref="J11:L17">
  <autoFilter ref="J11:L17" xr:uid="{5321D92F-6A98-9B47-BF1F-306AFF9085BC}">
    <filterColumn colId="0" hiddenButton="1"/>
    <filterColumn colId="1" hiddenButton="1"/>
    <filterColumn colId="2" hiddenButton="1"/>
  </autoFilter>
  <tableColumns count="3">
    <tableColumn id="1" xr3:uid="{EF34BE31-89FC-D747-A538-EF559742BC8C}" name="Week 9" totalsRowLabel="Total"/>
    <tableColumn id="2" xr3:uid="{256EA4B2-7096-044F-AA2C-C3853B5769B6}" name="Winner Score" totalsRowFunction="sum" dataDxfId="89" totalsRowDxfId="88"/>
    <tableColumn id="4" xr3:uid="{9CA254A3-312F-2A4B-81A4-2D766D940049}" name="Loser Score" totalsRowFunction="sum" totalsRowDxfId="87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938916B1-FFEF-1B4A-B738-801B39D45AB8}" name="Table412" displayName="Table412" ref="M11:O17">
  <autoFilter ref="M11:O17" xr:uid="{938916B1-FFEF-1B4A-B738-801B39D45AB8}">
    <filterColumn colId="0" hiddenButton="1"/>
    <filterColumn colId="1" hiddenButton="1"/>
    <filterColumn colId="2" hiddenButton="1"/>
  </autoFilter>
  <tableColumns count="3">
    <tableColumn id="1" xr3:uid="{22F906F2-0539-F449-AB48-D48164A3F96B}" name="Week 10" totalsRowLabel="Total"/>
    <tableColumn id="2" xr3:uid="{F6640EC1-373D-644B-9F63-4D27A7BF2B10}" name="Winner Score" totalsRowFunction="sum" dataDxfId="86" totalsRowDxfId="85"/>
    <tableColumn id="4" xr3:uid="{8AB1C1D6-C7F2-E648-B210-70A64FDAB4BA}" name="Loser Score" totalsRowFunction="sum" totalsRowDxfId="84"/>
  </tableColumns>
  <tableStyleInfo name="TableStyleMedium3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AF8ED328-5F32-ED45-9A73-71646926B408}" name="Table11" displayName="Table11" ref="A21:C27">
  <autoFilter ref="A21:C27" xr:uid="{AF8ED328-5F32-ED45-9A73-71646926B408}">
    <filterColumn colId="0" hiddenButton="1"/>
    <filterColumn colId="1" hiddenButton="1"/>
    <filterColumn colId="2" hiddenButton="1"/>
  </autoFilter>
  <tableColumns count="3">
    <tableColumn id="1" xr3:uid="{7F9EA391-7737-3544-BE30-85CA5C50432E}" name="Week 11" totalsRowLabel="Total"/>
    <tableColumn id="2" xr3:uid="{B9F1FF71-A8C4-C144-B725-81BD8D78520F}" name="Winner Score" totalsRowFunction="sum" dataDxfId="83" totalsRowDxfId="82"/>
    <tableColumn id="4" xr3:uid="{8209FFE4-86F8-AE41-8984-D6908FF36C61}" name="Loser Score" totalsRowFunction="sum" totalsRowDxfId="81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EB6DCE17-64DA-3748-875A-B356153423C4}" name="Table614" displayName="Table614" ref="D21:F27">
  <autoFilter ref="D21:F27" xr:uid="{EB6DCE17-64DA-3748-875A-B356153423C4}">
    <filterColumn colId="0" hiddenButton="1"/>
    <filterColumn colId="1" hiddenButton="1"/>
    <filterColumn colId="2" hiddenButton="1"/>
  </autoFilter>
  <tableColumns count="3">
    <tableColumn id="1" xr3:uid="{AA3CCC7D-6D95-8B47-A03D-B1D1DBAA9994}" name="Week 12" totalsRowLabel="Total"/>
    <tableColumn id="2" xr3:uid="{EA09FDE1-E1E3-ED4D-9304-10154A6E31B5}" name="Winner Score" totalsRowFunction="sum" dataDxfId="80" totalsRowDxfId="79"/>
    <tableColumn id="4" xr3:uid="{60C246B3-0D01-A44C-B89E-7ECEB611AC93}" name="Loser Score" totalsRowFunction="sum" totalsRowDxfId="78"/>
  </tableColumns>
  <tableStyleInfo name="TableStyleMedium3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65DA57B9-53F3-1347-8BA4-BB5FBAB85941}" name="Table13" displayName="Table13" ref="G21:I27">
  <autoFilter ref="G21:I27" xr:uid="{65DA57B9-53F3-1347-8BA4-BB5FBAB85941}">
    <filterColumn colId="0" hiddenButton="1"/>
    <filterColumn colId="1" hiddenButton="1"/>
    <filterColumn colId="2" hiddenButton="1"/>
  </autoFilter>
  <tableColumns count="3">
    <tableColumn id="1" xr3:uid="{AC3F1F08-53C3-FC4A-8F91-823A7CDA33DF}" name="Week 13" totalsRowLabel="Total"/>
    <tableColumn id="2" xr3:uid="{3F955808-9158-4F45-8092-D1AB96D9D85D}" name="Winner Score" totalsRowFunction="sum" dataDxfId="77" totalsRowDxfId="76"/>
    <tableColumn id="4" xr3:uid="{97A47F82-3911-0F4D-A3A8-14D74306DBA1}" name="Loser Score" totalsRowFunction="sum" totalsRowDxfId="75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93DD460C-A50D-0942-86EA-E442D63A15D4}" name="Table14" displayName="Table14" ref="J21:L27">
  <autoFilter ref="J21:L27" xr:uid="{93DD460C-A50D-0942-86EA-E442D63A15D4}">
    <filterColumn colId="0" hiddenButton="1"/>
    <filterColumn colId="1" hiddenButton="1"/>
    <filterColumn colId="2" hiddenButton="1"/>
  </autoFilter>
  <tableColumns count="3">
    <tableColumn id="1" xr3:uid="{22E37205-B7CE-A54E-8FE8-B33D175604E2}" name="Week 14" totalsRowLabel="Total"/>
    <tableColumn id="2" xr3:uid="{5876DA0F-716E-3A4D-8DE3-0BFDD23EEEF0}" name="Winner Score" totalsRowFunction="sum" dataDxfId="74" totalsRowDxfId="73"/>
    <tableColumn id="4" xr3:uid="{6B40BE2F-79CA-3C4B-8C08-02BE01430100}" name="Loser Score" totalsRowFunction="sum" totalsRowDxfId="72"/>
  </tableColumns>
  <tableStyleInfo name="TableStyleMedium3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751BE520-21BA-0C46-835F-F938D453BE77}" name="Table15" displayName="Table15" ref="M21:O27">
  <autoFilter ref="M21:O27" xr:uid="{751BE520-21BA-0C46-835F-F938D453BE77}">
    <filterColumn colId="0" hiddenButton="1"/>
    <filterColumn colId="1" hiddenButton="1"/>
    <filterColumn colId="2" hiddenButton="1"/>
  </autoFilter>
  <tableColumns count="3">
    <tableColumn id="1" xr3:uid="{99885FF2-75D6-9A4F-B912-07D956B67ECB}" name="Week 15" totalsRowLabel="Total"/>
    <tableColumn id="2" xr3:uid="{A5D8B3CE-07E4-E148-B43A-B46ABE318A8B}" name="Winner Score" totalsRowFunction="sum" dataDxfId="71" totalsRowDxfId="70"/>
    <tableColumn id="4" xr3:uid="{7D012DFD-3F32-874A-A7C5-A2D70A859E3A}" name="Loser Score" totalsRowFunction="sum" totalsRowDxfId="69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127EBAA8-E950-0749-8A14-10C21DF0E0D5}" name="Table16" displayName="Table16" ref="A31:C37">
  <autoFilter ref="A31:C37" xr:uid="{127EBAA8-E950-0749-8A14-10C21DF0E0D5}">
    <filterColumn colId="0" hiddenButton="1"/>
    <filterColumn colId="1" hiddenButton="1"/>
    <filterColumn colId="2" hiddenButton="1"/>
  </autoFilter>
  <tableColumns count="3">
    <tableColumn id="1" xr3:uid="{23E5046E-29A4-3049-B231-893DCD588AA6}" name="Week 16" totalsRowLabel="Total"/>
    <tableColumn id="2" xr3:uid="{3648916C-0EAC-044A-B38E-5A0411168387}" name="Winner Score" totalsRowFunction="sum" dataDxfId="68" totalsRowDxfId="67"/>
    <tableColumn id="4" xr3:uid="{4BA5BB52-16BA-E545-B1CE-EEC76C7A16A3}" name="Loser Score" totalsRowFunction="sum" totalsRowDxfId="66"/>
  </tableColumns>
  <tableStyleInfo name="TableStyleMedium3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8AF26126-C579-724A-98C3-58AF735CE262}" name="Table17" displayName="Table17" ref="D31:F37">
  <autoFilter ref="D31:F37" xr:uid="{8AF26126-C579-724A-98C3-58AF735CE262}">
    <filterColumn colId="0" hiddenButton="1"/>
    <filterColumn colId="1" hiddenButton="1"/>
    <filterColumn colId="2" hiddenButton="1"/>
  </autoFilter>
  <tableColumns count="3">
    <tableColumn id="1" xr3:uid="{E880A29B-83FF-3C4F-9F7A-A059E4C43618}" name="Week 17" totalsRowLabel="Total"/>
    <tableColumn id="2" xr3:uid="{52AB0EF9-F615-AC46-8C53-B85E5D9ADF85}" name="Winner Score" totalsRowFunction="sum" dataDxfId="65" totalsRowDxfId="64"/>
    <tableColumn id="4" xr3:uid="{1FB6B95B-D942-9849-AC19-ABC11CEE014A}" name="Loser Score" totalsRowFunction="sum" totalsRowDxfId="63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9A5FD819-69A4-4047-B664-6CBEDB722360}" name="Table61420" displayName="Table61420" ref="G31:I37">
  <autoFilter ref="G31:I37" xr:uid="{9A5FD819-69A4-4047-B664-6CBEDB722360}">
    <filterColumn colId="0" hiddenButton="1"/>
    <filterColumn colId="1" hiddenButton="1"/>
    <filterColumn colId="2" hiddenButton="1"/>
  </autoFilter>
  <tableColumns count="3">
    <tableColumn id="1" xr3:uid="{24F729DE-77BD-6741-B939-5839D5E6AB67}" name="Week 18" totalsRowLabel="Total"/>
    <tableColumn id="2" xr3:uid="{6FA4F256-CA1F-BC4A-A041-955CB09DBC5F}" name="Winner Score" totalsRowFunction="sum" dataDxfId="62" totalsRowDxfId="61"/>
    <tableColumn id="4" xr3:uid="{92FF54D8-466C-2640-A33B-E10F570A43D1}" name="Loser Score" totalsRowFunction="sum" totalsRowDxfId="60"/>
  </tableColumns>
  <tableStyleInfo name="TableStyleMedium3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C527AB0-8C3E-3443-8D8D-EB3EE4C3EB5B}" name="Table19" displayName="Table19" ref="J31:L37">
  <autoFilter ref="J31:L37" xr:uid="{0C527AB0-8C3E-3443-8D8D-EB3EE4C3EB5B}">
    <filterColumn colId="0" hiddenButton="1"/>
    <filterColumn colId="1" hiddenButton="1"/>
    <filterColumn colId="2" hiddenButton="1"/>
  </autoFilter>
  <tableColumns count="3">
    <tableColumn id="1" xr3:uid="{A9CB71F7-A9E7-A24B-8EE7-0B6394281E02}" name="Week 19" totalsRowLabel="Total"/>
    <tableColumn id="2" xr3:uid="{74AE0D68-4038-BC46-864B-86AF4E9F91FA}" name="Winner Score" totalsRowFunction="sum" dataDxfId="59" totalsRowDxfId="58"/>
    <tableColumn id="4" xr3:uid="{62828E4C-1CAB-574D-A4B1-C16F0FE8A2A8}" name="Loser Score" totalsRowFunction="sum" totalsRowDxfId="57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7406094C-481A-6544-AB55-39ECB0A0AD89}" name="Table25" displayName="Table25" ref="M31:O32" headerRowCount="0">
  <tableColumns count="3">
    <tableColumn id="1" xr3:uid="{37538FAE-5B53-4A4F-A7EC-5B6FE338029C}" name="Column1" totalsRowLabel="Total"/>
    <tableColumn id="2" xr3:uid="{4487BDA1-2253-DB42-8E1C-8F0FB2B6DF2F}" name="Column2"/>
    <tableColumn id="3" xr3:uid="{7854DEAC-D4E1-7049-91D3-2655EF038CA9}" name="Column3" totalsRowFunction="count"/>
  </tableColumns>
  <tableStyleInfo name="TableStyleMedium4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3167BA26-B102-EA47-9031-044A4B2AE25C}" name="Table127" displayName="Table127" ref="A1:C7">
  <autoFilter ref="A1:C7" xr:uid="{C1E35426-BFA6-FC4B-A06C-4F980B4F1FB7}">
    <filterColumn colId="0" hiddenButton="1"/>
    <filterColumn colId="1" hiddenButton="1"/>
    <filterColumn colId="2" hiddenButton="1"/>
  </autoFilter>
  <tableColumns count="3">
    <tableColumn id="1" xr3:uid="{74CA481C-6E28-C74E-B894-33BEEC066BB6}" name="Week 1" totalsRowLabel="Total"/>
    <tableColumn id="2" xr3:uid="{4867485A-2B9C-C04B-89BF-AAB2ADD80590}" name="Winner Score" totalsRowFunction="sum" dataDxfId="56" totalsRowDxfId="55"/>
    <tableColumn id="4" xr3:uid="{CA0ABD87-CB13-A348-8221-4CD1D30AFF20}" name="Loser Score" totalsRowFunction="sum" totalsRowDxfId="54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B3047A76-B89E-7548-8F9A-12DC96F9F4A8}" name="Table228" displayName="Table228" ref="D1:F7">
  <autoFilter ref="D1:F7" xr:uid="{1D5F5C42-0133-4B43-B3B9-9FEEE0C3D228}">
    <filterColumn colId="0" hiddenButton="1"/>
    <filterColumn colId="1" hiddenButton="1"/>
    <filterColumn colId="2" hiddenButton="1"/>
  </autoFilter>
  <tableColumns count="3">
    <tableColumn id="1" xr3:uid="{644105C5-6D7D-5E4D-A76E-CB3E536D6C3C}" name="Week 2" totalsRowLabel="Total"/>
    <tableColumn id="2" xr3:uid="{03CD983B-48A2-A544-916E-1BBB1FF18B41}" name="Winner Score" totalsRowFunction="sum" dataDxfId="53" totalsRowDxfId="52"/>
    <tableColumn id="4" xr3:uid="{B6E21099-FD46-5544-A403-2B1316A0655A}" name="Loser Score" totalsRowFunction="sum" totalsRowDxfId="51"/>
  </tableColumns>
  <tableStyleInfo name="TableStyleMedium3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34705866-6E45-CF4F-A22F-59E3877A4BE7}" name="Table329" displayName="Table329" ref="G1:I7">
  <autoFilter ref="G1:I7" xr:uid="{A7A0230F-4236-4C42-B5BE-380F82F15449}">
    <filterColumn colId="0" hiddenButton="1"/>
    <filterColumn colId="1" hiddenButton="1"/>
    <filterColumn colId="2" hiddenButton="1"/>
  </autoFilter>
  <tableColumns count="3">
    <tableColumn id="1" xr3:uid="{A5C45573-10D8-1F4B-903C-BE6ADA160292}" name="Week 3" totalsRowLabel="Total"/>
    <tableColumn id="2" xr3:uid="{066DC33A-4B81-F249-BC8F-8C4D61C2A717}" name="Winner Score" totalsRowFunction="sum" dataDxfId="50" totalsRowDxfId="49"/>
    <tableColumn id="4" xr3:uid="{2998C40F-909E-3447-A851-C93DA25607F2}" name="Loser Score" totalsRowFunction="sum" totalsRowDxfId="48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93388536-190C-5140-A31B-813C8240EFE1}" name="Table430" displayName="Table430" ref="J1:L7">
  <autoFilter ref="J1:L7" xr:uid="{5AF03F47-4F77-E649-908B-F7104181EBA3}">
    <filterColumn colId="0" hiddenButton="1"/>
    <filterColumn colId="1" hiddenButton="1"/>
    <filterColumn colId="2" hiddenButton="1"/>
  </autoFilter>
  <tableColumns count="3">
    <tableColumn id="1" xr3:uid="{D7D24CE5-4227-C04E-B1C2-79144A609F90}" name="Week 4" totalsRowLabel="Total"/>
    <tableColumn id="2" xr3:uid="{501455EB-8238-994C-ABF0-3252E4B6CA50}" name="Winner Score" totalsRowFunction="sum" dataDxfId="47" totalsRowDxfId="46"/>
    <tableColumn id="4" xr3:uid="{A419FE9F-AFE3-9448-8BF7-11600A2E8828}" name="Loser Score" totalsRowFunction="sum" totalsRowDxfId="45"/>
  </tableColumns>
  <tableStyleInfo name="TableStyleMedium3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8DDA7047-72ED-1C4B-B73D-7006564B1300}" name="Table531" displayName="Table531" ref="M1:O7">
  <autoFilter ref="M1:O7" xr:uid="{6D84AB02-6A35-D14F-8E93-CF7B69655D5E}">
    <filterColumn colId="0" hiddenButton="1"/>
    <filterColumn colId="1" hiddenButton="1"/>
    <filterColumn colId="2" hiddenButton="1"/>
  </autoFilter>
  <tableColumns count="3">
    <tableColumn id="1" xr3:uid="{566D0DEF-1104-664B-9CF2-88CFD9C126B1}" name="Week 5" totalsRowLabel="Total"/>
    <tableColumn id="2" xr3:uid="{97F8CD1F-77C3-D14C-B422-5E129A3CE47F}" name="Winner Score" totalsRowFunction="sum" dataDxfId="44" totalsRowDxfId="43"/>
    <tableColumn id="4" xr3:uid="{422FB214-E992-9646-9A79-3944EE90B297}" name="Loser Score" totalsRowFunction="sum" totalsRowDxfId="42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7A008709-018E-8340-AC63-CBC81F2FBE54}" name="Table632" displayName="Table632" ref="A11:C17">
  <autoFilter ref="A11:C17" xr:uid="{17C3D6C6-03E5-3142-A960-D2190F9F2470}">
    <filterColumn colId="0" hiddenButton="1"/>
    <filterColumn colId="1" hiddenButton="1"/>
    <filterColumn colId="2" hiddenButton="1"/>
  </autoFilter>
  <tableColumns count="3">
    <tableColumn id="1" xr3:uid="{F0923DB4-1B09-114F-860A-50329B53E0C9}" name="Week 6" totalsRowLabel="Total"/>
    <tableColumn id="2" xr3:uid="{4C288A92-B067-DA43-BFEE-7932FF03E2B3}" name="Winner Score" totalsRowFunction="sum" dataDxfId="41" totalsRowDxfId="40"/>
    <tableColumn id="4" xr3:uid="{5783CCDC-4C1F-E349-90F5-0FA46CE0B312}" name="Loser Score" totalsRowFunction="sum" totalsRowDxfId="39"/>
  </tableColumns>
  <tableStyleInfo name="TableStyleMedium3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A997FCA6-1A58-0B4F-B8A2-4BFF69DA0ECC}" name="Table733" displayName="Table733" ref="D11:F17">
  <autoFilter ref="D11:F17" xr:uid="{1C18C64B-83E4-F54A-A546-2634F7CD3A43}">
    <filterColumn colId="0" hiddenButton="1"/>
    <filterColumn colId="1" hiddenButton="1"/>
    <filterColumn colId="2" hiddenButton="1"/>
  </autoFilter>
  <tableColumns count="3">
    <tableColumn id="1" xr3:uid="{7DBB3C80-2C82-8B47-B59B-70CFD0037863}" name="Week 7" totalsRowLabel="Total"/>
    <tableColumn id="2" xr3:uid="{BB849E3C-C6D3-E74F-827C-0F36408C4B86}" name="Winner Score" totalsRowFunction="sum" dataDxfId="38" totalsRowDxfId="37"/>
    <tableColumn id="4" xr3:uid="{42EF8171-7AF4-D243-9222-3F9B516A1BE4}" name="Loser Score" totalsRowFunction="sum" totalsRowDxfId="36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7150651A-9A66-5D4F-BCA7-86542C91497B}" name="Table834" displayName="Table834" ref="G11:I17">
  <autoFilter ref="G11:I17" xr:uid="{3407ABFA-1C92-9E4C-8D0A-C33ECFEB9B4C}">
    <filterColumn colId="0" hiddenButton="1"/>
    <filterColumn colId="1" hiddenButton="1"/>
    <filterColumn colId="2" hiddenButton="1"/>
  </autoFilter>
  <tableColumns count="3">
    <tableColumn id="1" xr3:uid="{28D36E45-7701-374D-A27B-39D1C8A1C953}" name="Week 8" totalsRowLabel="Total"/>
    <tableColumn id="2" xr3:uid="{C7C905E6-B6FE-9045-B528-7BE8481417D9}" name="Winner Score" totalsRowFunction="sum" dataDxfId="35" totalsRowDxfId="34"/>
    <tableColumn id="4" xr3:uid="{17487CA9-C23B-CE42-87AD-B903F20037F6}" name="Loser Score" totalsRowFunction="sum" totalsRowDxfId="33"/>
  </tableColumns>
  <tableStyleInfo name="TableStyleMedium3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764F4EBF-04D0-AD4B-855C-C93E80DA6750}" name="Table935" displayName="Table935" ref="J11:L17">
  <autoFilter ref="J11:L17" xr:uid="{5321D92F-6A98-9B47-BF1F-306AFF9085BC}">
    <filterColumn colId="0" hiddenButton="1"/>
    <filterColumn colId="1" hiddenButton="1"/>
    <filterColumn colId="2" hiddenButton="1"/>
  </autoFilter>
  <tableColumns count="3">
    <tableColumn id="1" xr3:uid="{86668071-A970-0146-8BF0-3D567C177083}" name="Week 9" totalsRowLabel="Total"/>
    <tableColumn id="2" xr3:uid="{8124502F-21C4-FE41-BECC-0EE4802908A6}" name="Winner Score" totalsRowFunction="sum" dataDxfId="32" totalsRowDxfId="31"/>
    <tableColumn id="4" xr3:uid="{8B4934DD-C0F0-124D-A9F9-8627AFFDCC08}" name="Loser Score" totalsRowFunction="sum" totalsRowDxfId="30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80F54DC5-B3FD-824C-826F-6AB810318284}" name="Table41236" displayName="Table41236" ref="M11:O17">
  <autoFilter ref="M11:O17" xr:uid="{938916B1-FFEF-1B4A-B738-801B39D45AB8}">
    <filterColumn colId="0" hiddenButton="1"/>
    <filterColumn colId="1" hiddenButton="1"/>
    <filterColumn colId="2" hiddenButton="1"/>
  </autoFilter>
  <tableColumns count="3">
    <tableColumn id="1" xr3:uid="{1BC601E6-5C74-B442-BDCA-279EE4B09EBB}" name="Week 10" totalsRowLabel="Total"/>
    <tableColumn id="2" xr3:uid="{5590CA30-B944-5A45-8C59-661E248BF806}" name="Winner Score" totalsRowFunction="sum" dataDxfId="29" totalsRowDxfId="28"/>
    <tableColumn id="4" xr3:uid="{C2012CAE-E6AE-0448-93F9-E2DA2B27E9AA}" name="Loser Score" totalsRowFunction="sum" totalsRowDxfId="27"/>
  </tableColumns>
  <tableStyleInfo name="TableStyleMedium3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A8CEC07E-2213-CE42-B3A5-E9405DABCC8B}" name="Table1137" displayName="Table1137" ref="A21:C27">
  <autoFilter ref="A21:C27" xr:uid="{AF8ED328-5F32-ED45-9A73-71646926B408}">
    <filterColumn colId="0" hiddenButton="1"/>
    <filterColumn colId="1" hiddenButton="1"/>
    <filterColumn colId="2" hiddenButton="1"/>
  </autoFilter>
  <tableColumns count="3">
    <tableColumn id="1" xr3:uid="{DE91747E-BE65-C74B-A8A0-C89FFDB24377}" name="Week 11" totalsRowLabel="Total"/>
    <tableColumn id="2" xr3:uid="{7CE7A918-C8CF-9647-94F6-E4FEA81E92E0}" name="Winner Score" totalsRowFunction="sum" dataDxfId="26" totalsRowDxfId="25"/>
    <tableColumn id="4" xr3:uid="{A30E2BCA-EB07-3D4E-BE3E-A7AB6A756D42}" name="Loser Score" totalsRowFunction="sum" totalsRowDxfId="24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DAAEC753-B27E-A145-B670-1BCB85BA198C}" name="Table61438" displayName="Table61438" ref="D21:F27">
  <autoFilter ref="D21:F27" xr:uid="{EB6DCE17-64DA-3748-875A-B356153423C4}">
    <filterColumn colId="0" hiddenButton="1"/>
    <filterColumn colId="1" hiddenButton="1"/>
    <filterColumn colId="2" hiddenButton="1"/>
  </autoFilter>
  <tableColumns count="3">
    <tableColumn id="1" xr3:uid="{694230A9-1B81-424E-ADA5-308843FB987E}" name="Week 12" totalsRowLabel="Total"/>
    <tableColumn id="2" xr3:uid="{CDEC6DC9-FA2C-C14B-9CC7-110BC1E666A2}" name="Winner Score" totalsRowFunction="sum" dataDxfId="23" totalsRowDxfId="22"/>
    <tableColumn id="4" xr3:uid="{8C4177BF-2E89-D240-BE0A-45FBEDB3700D}" name="Loser Score" totalsRowFunction="sum" totalsRowDxfId="21"/>
  </tableColumns>
  <tableStyleInfo name="TableStyleMedium3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FD1EB325-EC5C-7144-9DD4-E88B90375930}" name="Table1339" displayName="Table1339" ref="G21:I27">
  <autoFilter ref="G21:I27" xr:uid="{65DA57B9-53F3-1347-8BA4-BB5FBAB85941}">
    <filterColumn colId="0" hiddenButton="1"/>
    <filterColumn colId="1" hiddenButton="1"/>
    <filterColumn colId="2" hiddenButton="1"/>
  </autoFilter>
  <tableColumns count="3">
    <tableColumn id="1" xr3:uid="{7C825FCC-2BBE-994D-BA20-B43CB687BFB2}" name="Week 13" totalsRowLabel="Total"/>
    <tableColumn id="2" xr3:uid="{ED3F7026-85B3-254E-8972-BD80B49679F5}" name="Winner Score" totalsRowFunction="sum" dataDxfId="20" totalsRowDxfId="19"/>
    <tableColumn id="4" xr3:uid="{9780B16D-18AF-374B-88BC-B0CCFC939F24}" name="Loser Score" totalsRowFunction="sum" totalsRowDxfId="18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E3FAC877-1803-884D-B0E6-BEB5E12863E3}" name="Table1440" displayName="Table1440" ref="J21:L27">
  <autoFilter ref="J21:L27" xr:uid="{93DD460C-A50D-0942-86EA-E442D63A15D4}">
    <filterColumn colId="0" hiddenButton="1"/>
    <filterColumn colId="1" hiddenButton="1"/>
    <filterColumn colId="2" hiddenButton="1"/>
  </autoFilter>
  <tableColumns count="3">
    <tableColumn id="1" xr3:uid="{68E0E9F9-950E-7743-BC3E-DF4C0B853332}" name="Week 14" totalsRowLabel="Total"/>
    <tableColumn id="2" xr3:uid="{DCD1ADFB-4B2F-8841-9D87-8CAFB9C7D538}" name="Winner Score" totalsRowFunction="sum" dataDxfId="17" totalsRowDxfId="16"/>
    <tableColumn id="4" xr3:uid="{5325DA8D-86C1-6545-9E78-0F9C223F35B7}" name="Loser Score" totalsRowFunction="sum" totalsRowDxfId="15"/>
  </tableColumns>
  <tableStyleInfo name="TableStyleMedium3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6BEBB492-7CB3-534D-AAA7-0DF6AEAB40F7}" name="Table1541" displayName="Table1541" ref="M21:O27">
  <autoFilter ref="M21:O27" xr:uid="{751BE520-21BA-0C46-835F-F938D453BE77}">
    <filterColumn colId="0" hiddenButton="1"/>
    <filterColumn colId="1" hiddenButton="1"/>
    <filterColumn colId="2" hiddenButton="1"/>
  </autoFilter>
  <tableColumns count="3">
    <tableColumn id="1" xr3:uid="{F341AE4E-D304-7545-B49A-B88C285DD2B1}" name="Week 15" totalsRowLabel="Total"/>
    <tableColumn id="2" xr3:uid="{A66A0B0E-50EF-4A44-BB36-CFFF188CC097}" name="Winner Score" totalsRowFunction="sum" dataDxfId="14" totalsRowDxfId="13"/>
    <tableColumn id="4" xr3:uid="{EC5B0372-3A2A-014F-A485-97015255ACCA}" name="Loser Score" totalsRowFunction="sum" totalsRowDxfId="12"/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BF685CD0-85F3-4943-9A1E-AB5FDD7C2328}" name="Table1642" displayName="Table1642" ref="A31:C37">
  <autoFilter ref="A31:C37" xr:uid="{127EBAA8-E950-0749-8A14-10C21DF0E0D5}">
    <filterColumn colId="0" hiddenButton="1"/>
    <filterColumn colId="1" hiddenButton="1"/>
    <filterColumn colId="2" hiddenButton="1"/>
  </autoFilter>
  <tableColumns count="3">
    <tableColumn id="1" xr3:uid="{17B405EA-4170-F147-B2FE-F3F837670931}" name="Week 16" totalsRowLabel="Total"/>
    <tableColumn id="2" xr3:uid="{D321EB9D-596B-6E49-A3D8-986BAEC366A4}" name="Winner Score" totalsRowFunction="sum" dataDxfId="11" totalsRowDxfId="10"/>
    <tableColumn id="4" xr3:uid="{A5899034-D82E-0140-88A6-DEEE77F557D4}" name="Loser Score" totalsRowFunction="sum" totalsRowDxfId="9"/>
  </tableColumns>
  <tableStyleInfo name="TableStyleMedium3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F8B1FF1B-1506-5C41-9C71-A3D400274B43}" name="Table1743" displayName="Table1743" ref="D31:F37">
  <autoFilter ref="D31:F37" xr:uid="{8AF26126-C579-724A-98C3-58AF735CE262}">
    <filterColumn colId="0" hiddenButton="1"/>
    <filterColumn colId="1" hiddenButton="1"/>
    <filterColumn colId="2" hiddenButton="1"/>
  </autoFilter>
  <tableColumns count="3">
    <tableColumn id="1" xr3:uid="{F1EE53AE-AC2C-F249-A5EE-4720DB60A655}" name="Week 17" totalsRowLabel="Total"/>
    <tableColumn id="2" xr3:uid="{2E37D58C-3DE9-D149-9045-D7C2D7157E47}" name="Winner Score" totalsRowFunction="sum" dataDxfId="8" totalsRowDxfId="7"/>
    <tableColumn id="4" xr3:uid="{50D0BE18-3997-2A44-AB1B-58D8AEE951BD}" name="Loser Score" totalsRowFunction="sum" totalsRowDxfId="6"/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293F38E2-7FA3-F840-BD54-306933F033EB}" name="Table6142044" displayName="Table6142044" ref="G31:I37">
  <autoFilter ref="G31:I37" xr:uid="{9A5FD819-69A4-4047-B664-6CBEDB722360}">
    <filterColumn colId="0" hiddenButton="1"/>
    <filterColumn colId="1" hiddenButton="1"/>
    <filterColumn colId="2" hiddenButton="1"/>
  </autoFilter>
  <tableColumns count="3">
    <tableColumn id="1" xr3:uid="{2E722E53-BC11-2B46-8DF6-81233C035307}" name="Week 18" totalsRowLabel="Total"/>
    <tableColumn id="2" xr3:uid="{0419D487-E0AC-7F4A-A61A-00C8E722A16E}" name="Winner Score" totalsRowFunction="sum" dataDxfId="5" totalsRowDxfId="4"/>
    <tableColumn id="4" xr3:uid="{91DB9866-9F9E-294F-9AB0-0D200E8C722D}" name="Loser Score" totalsRowFunction="sum" totalsRowDxfId="3"/>
  </tableColumns>
  <tableStyleInfo name="TableStyleMedium3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05E1881C-D44D-8943-8B66-DB72FA4C05FA}" name="Table1945" displayName="Table1945" ref="J31:L37">
  <autoFilter ref="J31:L37" xr:uid="{0C527AB0-8C3E-3443-8D8D-EB3EE4C3EB5B}">
    <filterColumn colId="0" hiddenButton="1"/>
    <filterColumn colId="1" hiddenButton="1"/>
    <filterColumn colId="2" hiddenButton="1"/>
  </autoFilter>
  <tableColumns count="3">
    <tableColumn id="1" xr3:uid="{4B925032-55CF-584C-B720-EE1440BB5810}" name="Week 19" totalsRowLabel="Total"/>
    <tableColumn id="2" xr3:uid="{D417B954-4CCE-594D-80A5-069A922A9788}" name="Winner Score" totalsRowFunction="sum" dataDxfId="2" totalsRowDxfId="1"/>
    <tableColumn id="4" xr3:uid="{D03D42B4-FAC1-324F-928B-C41B21F27347}" name="Loser Score" totalsRowFunction="sum" totalsRowDxfId="0"/>
  </tableColumns>
  <tableStyleInfo name="TableStyleMedium2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DBCFC6C6-2245-FF4A-ABDC-81B3743A234E}" name="Table2546" displayName="Table2546" ref="M31:O32" headerRowCount="0">
  <tableColumns count="3">
    <tableColumn id="1" xr3:uid="{D6AB9996-B95F-2E47-BE98-DCD5E642AA4B}" name="Column1" totalsRowLabel="Total"/>
    <tableColumn id="2" xr3:uid="{BE9FF60E-4C9F-EA41-A4BC-D9F882453337}" name="Column2"/>
    <tableColumn id="3" xr3:uid="{72827EB4-9498-9549-A480-091FC9E283F8}" name="Column3" totalsRowFunction="count"/>
  </tableColumns>
  <tableStyleInfo name="TableStyleMedium4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7719A65D-6CD5-8642-B1D1-4EDE4F0F76AE}" name="Table20" displayName="Table20" ref="A2:D11" headerRowCount="0" totalsRowShown="0">
  <tableColumns count="4">
    <tableColumn id="1" xr3:uid="{0AA8031A-C99C-8A46-A1EC-4739BFBD5CF4}" name="Column1"/>
    <tableColumn id="2" xr3:uid="{C66EFDD4-7B72-5944-B90D-D93AB425A3FF}" name="Column2"/>
    <tableColumn id="3" xr3:uid="{808E2C73-EB92-364A-8BCE-BE165145ABFC}" name="Column3"/>
    <tableColumn id="4" xr3:uid="{2C085ABD-14B7-E349-B12D-F3C1F5A50525}" name="Column4"/>
  </tableColumns>
  <tableStyleInfo name="TableStyleMedium3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23BE3B02-BEC7-1F4C-A8D2-C23A023C2D9A}" name="Table2023" displayName="Table2023" ref="F2:I11" headerRowCount="0" totalsRowShown="0">
  <tableColumns count="4">
    <tableColumn id="1" xr3:uid="{B842C836-EC1D-7341-ADB8-016C18DD7E82}" name="Column1"/>
    <tableColumn id="2" xr3:uid="{68347A6A-5A81-5148-A486-8C9BA2D4C4E4}" name="Column2"/>
    <tableColumn id="3" xr3:uid="{217C6E04-F34F-4B49-AA4A-7A8E7140A0B4}" name="Column3"/>
    <tableColumn id="4" xr3:uid="{34DEC081-5534-9041-ADE3-A68C8FF8BFE3}" name="Column4"/>
  </tableColumns>
  <tableStyleInfo name="TableStyleMedium3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90C57169-9533-E24A-8E8E-08776605EE19}" name="Table23" displayName="Table23" ref="K2:M15" headerRowCount="0" totalsRowShown="0">
  <tableColumns count="3">
    <tableColumn id="1" xr3:uid="{4E999BFE-9BD8-9B4F-82DA-DDEDACC6CAE7}" name="Column1"/>
    <tableColumn id="2" xr3:uid="{175F3903-BEE6-EC4A-B616-C1B0FD5E9B26}" name="Column2" dataDxfId="114">
      <calculatedColumnFormula>AVERAGE(Table20[[#This Row],[Column2]],Table2023[[#This Row],[Column2]])</calculatedColumnFormula>
    </tableColumn>
    <tableColumn id="4" xr3:uid="{3E11FCDE-54F5-FE40-B9E7-00B9B54956EE}" name="Column4"/>
  </tableColumns>
  <tableStyleInfo name="TableStyleLight21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498F437A-ADCA-496B-BAF7-49F8F02DAEE1}" name="Table2048" displayName="Table2048" ref="A13:D22" headerRowCount="0" totalsRowShown="0">
  <tableColumns count="4">
    <tableColumn id="1" xr3:uid="{D1061FA3-D653-405A-AC05-DDD0C600C0AA}" name="Column1"/>
    <tableColumn id="2" xr3:uid="{A439D301-234C-41EC-8A07-7B8FAEB74F69}" name="Column2"/>
    <tableColumn id="3" xr3:uid="{D14DDCDA-DEB3-46CF-8859-B7946A67A522}" name="Column3"/>
    <tableColumn id="4" xr3:uid="{4CE24720-205B-4706-9745-06844E0F533A}" name="Column4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13" Type="http://schemas.openxmlformats.org/officeDocument/2006/relationships/table" Target="../tables/table13.xml"/><Relationship Id="rId18" Type="http://schemas.openxmlformats.org/officeDocument/2006/relationships/table" Target="../tables/table1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12" Type="http://schemas.openxmlformats.org/officeDocument/2006/relationships/table" Target="../tables/table12.xml"/><Relationship Id="rId17" Type="http://schemas.openxmlformats.org/officeDocument/2006/relationships/table" Target="../tables/table17.xml"/><Relationship Id="rId2" Type="http://schemas.openxmlformats.org/officeDocument/2006/relationships/table" Target="../tables/table2.xml"/><Relationship Id="rId16" Type="http://schemas.openxmlformats.org/officeDocument/2006/relationships/table" Target="../tables/table16.xml"/><Relationship Id="rId20" Type="http://schemas.openxmlformats.org/officeDocument/2006/relationships/table" Target="../tables/table20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5" Type="http://schemas.openxmlformats.org/officeDocument/2006/relationships/table" Target="../tables/table5.xml"/><Relationship Id="rId15" Type="http://schemas.openxmlformats.org/officeDocument/2006/relationships/table" Target="../tables/table15.xml"/><Relationship Id="rId10" Type="http://schemas.openxmlformats.org/officeDocument/2006/relationships/table" Target="../tables/table10.xml"/><Relationship Id="rId19" Type="http://schemas.openxmlformats.org/officeDocument/2006/relationships/table" Target="../tables/table19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Relationship Id="rId14" Type="http://schemas.openxmlformats.org/officeDocument/2006/relationships/table" Target="../tables/table14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28.xml"/><Relationship Id="rId13" Type="http://schemas.openxmlformats.org/officeDocument/2006/relationships/table" Target="../tables/table33.xml"/><Relationship Id="rId18" Type="http://schemas.openxmlformats.org/officeDocument/2006/relationships/table" Target="../tables/table38.xml"/><Relationship Id="rId3" Type="http://schemas.openxmlformats.org/officeDocument/2006/relationships/table" Target="../tables/table23.xml"/><Relationship Id="rId7" Type="http://schemas.openxmlformats.org/officeDocument/2006/relationships/table" Target="../tables/table27.xml"/><Relationship Id="rId12" Type="http://schemas.openxmlformats.org/officeDocument/2006/relationships/table" Target="../tables/table32.xml"/><Relationship Id="rId17" Type="http://schemas.openxmlformats.org/officeDocument/2006/relationships/table" Target="../tables/table37.xml"/><Relationship Id="rId2" Type="http://schemas.openxmlformats.org/officeDocument/2006/relationships/table" Target="../tables/table22.xml"/><Relationship Id="rId16" Type="http://schemas.openxmlformats.org/officeDocument/2006/relationships/table" Target="../tables/table36.xml"/><Relationship Id="rId20" Type="http://schemas.openxmlformats.org/officeDocument/2006/relationships/table" Target="../tables/table40.xml"/><Relationship Id="rId1" Type="http://schemas.openxmlformats.org/officeDocument/2006/relationships/table" Target="../tables/table21.xml"/><Relationship Id="rId6" Type="http://schemas.openxmlformats.org/officeDocument/2006/relationships/table" Target="../tables/table26.xml"/><Relationship Id="rId11" Type="http://schemas.openxmlformats.org/officeDocument/2006/relationships/table" Target="../tables/table31.xml"/><Relationship Id="rId5" Type="http://schemas.openxmlformats.org/officeDocument/2006/relationships/table" Target="../tables/table25.xml"/><Relationship Id="rId15" Type="http://schemas.openxmlformats.org/officeDocument/2006/relationships/table" Target="../tables/table35.xml"/><Relationship Id="rId10" Type="http://schemas.openxmlformats.org/officeDocument/2006/relationships/table" Target="../tables/table30.xml"/><Relationship Id="rId19" Type="http://schemas.openxmlformats.org/officeDocument/2006/relationships/table" Target="../tables/table39.xml"/><Relationship Id="rId4" Type="http://schemas.openxmlformats.org/officeDocument/2006/relationships/table" Target="../tables/table24.xml"/><Relationship Id="rId9" Type="http://schemas.openxmlformats.org/officeDocument/2006/relationships/table" Target="../tables/table29.xml"/><Relationship Id="rId14" Type="http://schemas.openxmlformats.org/officeDocument/2006/relationships/table" Target="../tables/table3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3.xml"/><Relationship Id="rId2" Type="http://schemas.openxmlformats.org/officeDocument/2006/relationships/table" Target="../tables/table42.xml"/><Relationship Id="rId1" Type="http://schemas.openxmlformats.org/officeDocument/2006/relationships/table" Target="../tables/table41.xml"/><Relationship Id="rId4" Type="http://schemas.openxmlformats.org/officeDocument/2006/relationships/table" Target="../tables/table4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F19B6-C5F2-DB42-B5FD-D0922B986816}">
  <dimension ref="A1:O39"/>
  <sheetViews>
    <sheetView workbookViewId="0">
      <selection activeCell="O37" sqref="O37"/>
    </sheetView>
  </sheetViews>
  <sheetFormatPr defaultColWidth="11" defaultRowHeight="15.75" x14ac:dyDescent="0.25"/>
  <cols>
    <col min="1" max="1" width="9.625" bestFit="1" customWidth="1"/>
    <col min="2" max="3" width="12.125" bestFit="1" customWidth="1"/>
    <col min="4" max="4" width="9.625" bestFit="1" customWidth="1"/>
    <col min="5" max="6" width="12.125" bestFit="1" customWidth="1"/>
    <col min="7" max="7" width="9.625" bestFit="1" customWidth="1"/>
    <col min="8" max="9" width="12.125" bestFit="1" customWidth="1"/>
    <col min="10" max="10" width="9.625" bestFit="1" customWidth="1"/>
    <col min="11" max="12" width="12.125" bestFit="1" customWidth="1"/>
    <col min="13" max="13" width="11" customWidth="1"/>
    <col min="14" max="15" width="12.1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1</v>
      </c>
      <c r="F1" t="s">
        <v>2</v>
      </c>
      <c r="G1" t="s">
        <v>4</v>
      </c>
      <c r="H1" t="s">
        <v>1</v>
      </c>
      <c r="I1" t="s">
        <v>2</v>
      </c>
      <c r="J1" t="s">
        <v>5</v>
      </c>
      <c r="K1" t="s">
        <v>1</v>
      </c>
      <c r="L1" t="s">
        <v>2</v>
      </c>
      <c r="M1" t="s">
        <v>6</v>
      </c>
      <c r="N1" t="s">
        <v>1</v>
      </c>
      <c r="O1" t="s">
        <v>2</v>
      </c>
    </row>
    <row r="2" spans="1:15" x14ac:dyDescent="0.25">
      <c r="A2" t="s">
        <v>7</v>
      </c>
      <c r="B2" s="4">
        <v>297.5</v>
      </c>
      <c r="C2">
        <v>262.2</v>
      </c>
      <c r="D2" t="s">
        <v>7</v>
      </c>
      <c r="E2" s="4">
        <v>465</v>
      </c>
      <c r="F2">
        <v>346.5</v>
      </c>
      <c r="G2" t="s">
        <v>7</v>
      </c>
      <c r="H2" s="4">
        <v>467</v>
      </c>
      <c r="I2">
        <v>304.5</v>
      </c>
      <c r="J2" t="s">
        <v>7</v>
      </c>
      <c r="K2" s="4">
        <v>541</v>
      </c>
      <c r="L2">
        <v>368</v>
      </c>
      <c r="M2" t="s">
        <v>7</v>
      </c>
      <c r="N2" s="4">
        <v>451.5</v>
      </c>
      <c r="O2">
        <v>391</v>
      </c>
    </row>
    <row r="3" spans="1:15" x14ac:dyDescent="0.25">
      <c r="A3" t="s">
        <v>8</v>
      </c>
      <c r="B3" s="4">
        <v>331.5</v>
      </c>
      <c r="C3">
        <v>238</v>
      </c>
      <c r="D3" t="s">
        <v>8</v>
      </c>
      <c r="E3" s="4">
        <v>492</v>
      </c>
      <c r="F3">
        <v>346</v>
      </c>
      <c r="G3" t="s">
        <v>8</v>
      </c>
      <c r="H3" s="4">
        <v>466.5</v>
      </c>
      <c r="I3">
        <v>454</v>
      </c>
      <c r="J3" t="s">
        <v>8</v>
      </c>
      <c r="K3" s="4">
        <v>411.5</v>
      </c>
      <c r="L3">
        <v>350.5</v>
      </c>
      <c r="M3" t="s">
        <v>8</v>
      </c>
      <c r="N3" s="4">
        <v>476.5</v>
      </c>
      <c r="O3">
        <v>428.5</v>
      </c>
    </row>
    <row r="4" spans="1:15" x14ac:dyDescent="0.25">
      <c r="A4" t="s">
        <v>9</v>
      </c>
      <c r="B4" s="4">
        <v>288.5</v>
      </c>
      <c r="C4">
        <v>262</v>
      </c>
      <c r="D4" t="s">
        <v>9</v>
      </c>
      <c r="E4" s="4">
        <v>377.5</v>
      </c>
      <c r="F4">
        <v>360.5</v>
      </c>
      <c r="G4" t="s">
        <v>9</v>
      </c>
      <c r="H4" s="4">
        <v>424.5</v>
      </c>
      <c r="I4">
        <v>338</v>
      </c>
      <c r="J4" t="s">
        <v>9</v>
      </c>
      <c r="K4" s="4">
        <v>426.5</v>
      </c>
      <c r="L4">
        <v>372</v>
      </c>
      <c r="M4" t="s">
        <v>9</v>
      </c>
      <c r="N4" s="4">
        <v>490</v>
      </c>
      <c r="O4">
        <v>308.5</v>
      </c>
    </row>
    <row r="5" spans="1:15" x14ac:dyDescent="0.25">
      <c r="A5" t="s">
        <v>10</v>
      </c>
      <c r="B5" s="4">
        <v>355</v>
      </c>
      <c r="C5">
        <v>312.5</v>
      </c>
      <c r="D5" t="s">
        <v>10</v>
      </c>
      <c r="E5" s="4">
        <v>384</v>
      </c>
      <c r="F5">
        <v>354.5</v>
      </c>
      <c r="G5" t="s">
        <v>10</v>
      </c>
      <c r="H5" s="4">
        <v>544</v>
      </c>
      <c r="I5">
        <v>533.5</v>
      </c>
      <c r="J5" t="s">
        <v>10</v>
      </c>
      <c r="K5" s="4">
        <v>418</v>
      </c>
      <c r="L5">
        <v>385</v>
      </c>
      <c r="M5" t="s">
        <v>10</v>
      </c>
      <c r="N5" s="4">
        <v>442.5</v>
      </c>
      <c r="O5">
        <v>367</v>
      </c>
    </row>
    <row r="6" spans="1:15" x14ac:dyDescent="0.25">
      <c r="A6" t="s">
        <v>11</v>
      </c>
      <c r="B6" s="4">
        <v>295.5</v>
      </c>
      <c r="C6">
        <v>284</v>
      </c>
      <c r="D6" t="s">
        <v>11</v>
      </c>
      <c r="E6" s="4">
        <v>382</v>
      </c>
      <c r="F6">
        <v>382</v>
      </c>
      <c r="G6" t="s">
        <v>11</v>
      </c>
      <c r="H6" s="4">
        <v>396</v>
      </c>
      <c r="I6">
        <v>304</v>
      </c>
      <c r="J6" t="s">
        <v>11</v>
      </c>
      <c r="K6" s="4">
        <v>480</v>
      </c>
      <c r="L6">
        <v>425.5</v>
      </c>
      <c r="M6" t="s">
        <v>11</v>
      </c>
      <c r="N6" s="4">
        <v>434.5</v>
      </c>
      <c r="O6">
        <v>369</v>
      </c>
    </row>
    <row r="7" spans="1:15" ht="16.5" thickBot="1" x14ac:dyDescent="0.3">
      <c r="A7" t="s">
        <v>12</v>
      </c>
      <c r="B7" s="4">
        <v>237.5</v>
      </c>
      <c r="C7">
        <v>171.5</v>
      </c>
      <c r="D7" t="s">
        <v>12</v>
      </c>
      <c r="E7" s="4">
        <v>510.5</v>
      </c>
      <c r="F7">
        <v>405</v>
      </c>
      <c r="G7" t="s">
        <v>12</v>
      </c>
      <c r="H7" s="4">
        <v>415</v>
      </c>
      <c r="I7">
        <v>405</v>
      </c>
      <c r="J7" t="s">
        <v>12</v>
      </c>
      <c r="K7" s="4">
        <v>451.5</v>
      </c>
      <c r="L7">
        <v>366.5</v>
      </c>
      <c r="M7" t="s">
        <v>12</v>
      </c>
      <c r="N7" s="4">
        <v>521</v>
      </c>
      <c r="O7">
        <v>469</v>
      </c>
    </row>
    <row r="8" spans="1:15" ht="16.5" thickTop="1" x14ac:dyDescent="0.25">
      <c r="A8" s="6" t="s">
        <v>13</v>
      </c>
      <c r="B8" s="7">
        <f>SUBTOTAL(1,Table1[Winner Score])</f>
        <v>300.91666666666669</v>
      </c>
      <c r="C8" s="5">
        <f>SUBTOTAL(1,Table1[Loser Score])</f>
        <v>255.03333333333333</v>
      </c>
      <c r="D8" s="6" t="s">
        <v>13</v>
      </c>
      <c r="E8" s="7">
        <f>SUBTOTAL(1,Table2[Winner Score])</f>
        <v>435.16666666666669</v>
      </c>
      <c r="F8" s="5">
        <f>SUBTOTAL(1,Table2[Loser Score])</f>
        <v>365.75</v>
      </c>
      <c r="G8" s="6" t="s">
        <v>13</v>
      </c>
      <c r="H8" s="7">
        <f>SUBTOTAL(1,Table3[Winner Score])</f>
        <v>452.16666666666669</v>
      </c>
      <c r="I8" s="5">
        <f>SUBTOTAL(1,Table3[Loser Score])</f>
        <v>389.83333333333331</v>
      </c>
      <c r="J8" s="6" t="s">
        <v>13</v>
      </c>
      <c r="K8" s="7">
        <f>SUBTOTAL(1,Table4[Winner Score])</f>
        <v>454.75</v>
      </c>
      <c r="L8" s="5">
        <f>SUBTOTAL(1,Table4[Loser Score])</f>
        <v>377.91666666666669</v>
      </c>
      <c r="M8" s="6" t="s">
        <v>13</v>
      </c>
      <c r="N8" s="7">
        <f>SUBTOTAL(1,Table5[Winner Score])</f>
        <v>469.33333333333331</v>
      </c>
      <c r="O8" s="5">
        <f>SUBTOTAL(1,Table5[Loser Score])</f>
        <v>388.83333333333331</v>
      </c>
    </row>
    <row r="9" spans="1:15" x14ac:dyDescent="0.25">
      <c r="A9" t="s">
        <v>14</v>
      </c>
      <c r="B9" s="4">
        <f>SUBTOTAL(9,Table1[Winner Score])</f>
        <v>1805.5</v>
      </c>
      <c r="C9">
        <f>SUBTOTAL(9,Table1[Loser Score])</f>
        <v>1530.2</v>
      </c>
      <c r="D9" t="s">
        <v>14</v>
      </c>
      <c r="E9" s="4">
        <f>SUBTOTAL(9,Table2[Winner Score])</f>
        <v>2611</v>
      </c>
      <c r="F9">
        <f>SUBTOTAL(9,Table2[Loser Score])</f>
        <v>2194.5</v>
      </c>
      <c r="G9" t="s">
        <v>14</v>
      </c>
      <c r="H9" s="4">
        <f>SUBTOTAL(9,Table3[Winner Score])</f>
        <v>2713</v>
      </c>
      <c r="I9">
        <f>SUBTOTAL(9,Table3[Loser Score])</f>
        <v>2339</v>
      </c>
      <c r="J9" t="s">
        <v>14</v>
      </c>
      <c r="K9" s="4">
        <f>SUBTOTAL(9,Table4[Winner Score])</f>
        <v>2728.5</v>
      </c>
      <c r="L9">
        <f>SUBTOTAL(9,Table4[Loser Score])</f>
        <v>2267.5</v>
      </c>
      <c r="M9" t="s">
        <v>14</v>
      </c>
      <c r="N9" s="4">
        <f>SUBTOTAL(9,Table5[Winner Score])</f>
        <v>2816</v>
      </c>
      <c r="O9">
        <f>SUBTOTAL(9,Table5[Loser Score])</f>
        <v>2333</v>
      </c>
    </row>
    <row r="11" spans="1:15" x14ac:dyDescent="0.25">
      <c r="A11" t="s">
        <v>15</v>
      </c>
      <c r="B11" t="s">
        <v>1</v>
      </c>
      <c r="C11" t="s">
        <v>2</v>
      </c>
      <c r="D11" t="s">
        <v>16</v>
      </c>
      <c r="E11" t="s">
        <v>1</v>
      </c>
      <c r="F11" t="s">
        <v>2</v>
      </c>
      <c r="G11" t="s">
        <v>17</v>
      </c>
      <c r="H11" t="s">
        <v>1</v>
      </c>
      <c r="I11" t="s">
        <v>2</v>
      </c>
      <c r="J11" t="s">
        <v>18</v>
      </c>
      <c r="K11" t="s">
        <v>1</v>
      </c>
      <c r="L11" t="s">
        <v>2</v>
      </c>
      <c r="M11" t="s">
        <v>19</v>
      </c>
      <c r="N11" t="s">
        <v>1</v>
      </c>
      <c r="O11" t="s">
        <v>2</v>
      </c>
    </row>
    <row r="12" spans="1:15" x14ac:dyDescent="0.25">
      <c r="A12" t="s">
        <v>7</v>
      </c>
      <c r="B12" s="4">
        <v>366</v>
      </c>
      <c r="C12">
        <v>289</v>
      </c>
      <c r="D12" t="s">
        <v>7</v>
      </c>
      <c r="E12" s="4">
        <v>412.5</v>
      </c>
      <c r="F12">
        <v>354</v>
      </c>
      <c r="G12" t="s">
        <v>7</v>
      </c>
      <c r="H12" s="4">
        <v>339.5</v>
      </c>
      <c r="I12">
        <v>319</v>
      </c>
      <c r="J12" t="s">
        <v>7</v>
      </c>
      <c r="K12" s="4">
        <v>401</v>
      </c>
      <c r="L12">
        <v>392</v>
      </c>
      <c r="M12" t="s">
        <v>7</v>
      </c>
      <c r="N12" s="4">
        <v>434.5</v>
      </c>
      <c r="O12">
        <v>393</v>
      </c>
    </row>
    <row r="13" spans="1:15" x14ac:dyDescent="0.25">
      <c r="A13" t="s">
        <v>8</v>
      </c>
      <c r="B13" s="4">
        <v>438.5</v>
      </c>
      <c r="C13">
        <v>410</v>
      </c>
      <c r="D13" t="s">
        <v>8</v>
      </c>
      <c r="E13" s="4">
        <v>437</v>
      </c>
      <c r="F13">
        <v>408</v>
      </c>
      <c r="G13" t="s">
        <v>8</v>
      </c>
      <c r="H13" s="4">
        <v>450</v>
      </c>
      <c r="I13">
        <v>311.5</v>
      </c>
      <c r="J13" t="s">
        <v>8</v>
      </c>
      <c r="K13" s="4">
        <v>472</v>
      </c>
      <c r="L13">
        <v>462.5</v>
      </c>
      <c r="M13" t="s">
        <v>8</v>
      </c>
      <c r="N13" s="4">
        <v>388</v>
      </c>
      <c r="O13">
        <v>371.5</v>
      </c>
    </row>
    <row r="14" spans="1:15" x14ac:dyDescent="0.25">
      <c r="A14" t="s">
        <v>9</v>
      </c>
      <c r="B14" s="4">
        <v>413.5</v>
      </c>
      <c r="C14">
        <v>359.5</v>
      </c>
      <c r="D14" t="s">
        <v>9</v>
      </c>
      <c r="E14" s="4">
        <v>351</v>
      </c>
      <c r="F14">
        <v>343</v>
      </c>
      <c r="G14" t="s">
        <v>9</v>
      </c>
      <c r="H14" s="4">
        <v>373</v>
      </c>
      <c r="I14">
        <v>349</v>
      </c>
      <c r="J14" t="s">
        <v>9</v>
      </c>
      <c r="K14" s="4">
        <v>566</v>
      </c>
      <c r="L14">
        <v>299.5</v>
      </c>
      <c r="M14" t="s">
        <v>9</v>
      </c>
      <c r="N14" s="4">
        <v>449.5</v>
      </c>
      <c r="O14">
        <v>379</v>
      </c>
    </row>
    <row r="15" spans="1:15" x14ac:dyDescent="0.25">
      <c r="A15" t="s">
        <v>10</v>
      </c>
      <c r="B15" s="4">
        <v>475.5</v>
      </c>
      <c r="C15">
        <v>441.5</v>
      </c>
      <c r="D15" t="s">
        <v>10</v>
      </c>
      <c r="E15" s="4">
        <v>407</v>
      </c>
      <c r="F15">
        <v>350</v>
      </c>
      <c r="G15" t="s">
        <v>10</v>
      </c>
      <c r="H15" s="4">
        <v>527.5</v>
      </c>
      <c r="I15">
        <v>317.5</v>
      </c>
      <c r="J15" t="s">
        <v>10</v>
      </c>
      <c r="K15" s="4">
        <v>449.5</v>
      </c>
      <c r="L15">
        <v>395</v>
      </c>
      <c r="M15" t="s">
        <v>10</v>
      </c>
      <c r="N15" s="4">
        <v>472</v>
      </c>
      <c r="O15">
        <v>409.5</v>
      </c>
    </row>
    <row r="16" spans="1:15" x14ac:dyDescent="0.25">
      <c r="A16" t="s">
        <v>11</v>
      </c>
      <c r="B16" s="4">
        <v>494.5</v>
      </c>
      <c r="C16">
        <v>353.5</v>
      </c>
      <c r="D16" t="s">
        <v>11</v>
      </c>
      <c r="E16" s="4">
        <v>407.5</v>
      </c>
      <c r="F16">
        <v>406.5</v>
      </c>
      <c r="G16" t="s">
        <v>11</v>
      </c>
      <c r="H16" s="4">
        <v>495</v>
      </c>
      <c r="I16">
        <v>383</v>
      </c>
      <c r="J16" t="s">
        <v>11</v>
      </c>
      <c r="K16" s="4">
        <v>426.5</v>
      </c>
      <c r="L16">
        <v>317.5</v>
      </c>
      <c r="M16" t="s">
        <v>11</v>
      </c>
      <c r="N16" s="4">
        <v>476</v>
      </c>
      <c r="O16">
        <v>354.5</v>
      </c>
    </row>
    <row r="17" spans="1:15" ht="16.5" thickBot="1" x14ac:dyDescent="0.3">
      <c r="A17" t="s">
        <v>12</v>
      </c>
      <c r="B17" s="4">
        <v>468.5</v>
      </c>
      <c r="C17">
        <v>386.5</v>
      </c>
      <c r="D17" t="s">
        <v>12</v>
      </c>
      <c r="E17" s="4">
        <v>475.5</v>
      </c>
      <c r="F17">
        <v>370.5</v>
      </c>
      <c r="G17" t="s">
        <v>12</v>
      </c>
      <c r="H17" s="4">
        <v>424.5</v>
      </c>
      <c r="I17">
        <v>367.5</v>
      </c>
      <c r="J17" t="s">
        <v>12</v>
      </c>
      <c r="K17" s="4">
        <v>502</v>
      </c>
      <c r="L17">
        <v>420</v>
      </c>
      <c r="M17" t="s">
        <v>12</v>
      </c>
      <c r="N17" s="4">
        <v>455.5</v>
      </c>
      <c r="O17">
        <v>424</v>
      </c>
    </row>
    <row r="18" spans="1:15" ht="16.5" thickTop="1" x14ac:dyDescent="0.25">
      <c r="A18" s="6" t="s">
        <v>13</v>
      </c>
      <c r="B18" s="7">
        <f>SUBTOTAL(1,Table6[Winner Score])</f>
        <v>442.75</v>
      </c>
      <c r="C18" s="5">
        <f>SUBTOTAL(1,Table6[Loser Score])</f>
        <v>373.33333333333331</v>
      </c>
      <c r="D18" s="6" t="s">
        <v>13</v>
      </c>
      <c r="E18" s="7">
        <f>SUBTOTAL(1,Table7[Winner Score])</f>
        <v>415.08333333333331</v>
      </c>
      <c r="F18" s="5">
        <f>SUBTOTAL(1,Table7[Loser Score])</f>
        <v>372</v>
      </c>
      <c r="G18" s="6" t="s">
        <v>13</v>
      </c>
      <c r="H18" s="7">
        <f>SUBTOTAL(1,Table8[Winner Score])</f>
        <v>434.91666666666669</v>
      </c>
      <c r="I18" s="5">
        <f>SUBTOTAL(1,Table8[Loser Score])</f>
        <v>341.25</v>
      </c>
      <c r="J18" s="6" t="s">
        <v>13</v>
      </c>
      <c r="K18" s="7">
        <f>SUBTOTAL(1,Table9[Winner Score])</f>
        <v>469.5</v>
      </c>
      <c r="L18" s="5">
        <f>SUBTOTAL(1,Table9[Loser Score])</f>
        <v>381.08333333333331</v>
      </c>
      <c r="M18" s="6" t="s">
        <v>13</v>
      </c>
      <c r="N18" s="7">
        <f>SUBTOTAL(1,Table412[Winner Score])</f>
        <v>445.91666666666669</v>
      </c>
      <c r="O18" s="5">
        <f>SUBTOTAL(1,Table412[Loser Score])</f>
        <v>388.58333333333331</v>
      </c>
    </row>
    <row r="19" spans="1:15" x14ac:dyDescent="0.25">
      <c r="A19" t="s">
        <v>14</v>
      </c>
      <c r="B19" s="4">
        <f>SUBTOTAL(9,Table6[Winner Score])</f>
        <v>2656.5</v>
      </c>
      <c r="C19">
        <f>SUBTOTAL(9,Table6[Loser Score])</f>
        <v>2240</v>
      </c>
      <c r="D19" t="s">
        <v>14</v>
      </c>
      <c r="E19" s="4">
        <f>SUBTOTAL(9,Table7[Winner Score])</f>
        <v>2490.5</v>
      </c>
      <c r="F19">
        <f>SUBTOTAL(9,Table7[Loser Score])</f>
        <v>2232</v>
      </c>
      <c r="G19" t="s">
        <v>14</v>
      </c>
      <c r="H19" s="4">
        <f>SUBTOTAL(9,Table8[Winner Score])</f>
        <v>2609.5</v>
      </c>
      <c r="I19">
        <f>SUBTOTAL(9,Table8[Loser Score])</f>
        <v>2047.5</v>
      </c>
      <c r="J19" t="s">
        <v>14</v>
      </c>
      <c r="K19" s="4">
        <f>SUBTOTAL(9,Table9[Winner Score])</f>
        <v>2817</v>
      </c>
      <c r="L19">
        <f>SUBTOTAL(9,Table9[Loser Score])</f>
        <v>2286.5</v>
      </c>
      <c r="M19" t="s">
        <v>14</v>
      </c>
      <c r="N19" s="4">
        <f>SUBTOTAL(9,Table412[Winner Score])</f>
        <v>2675.5</v>
      </c>
      <c r="O19">
        <f>SUBTOTAL(9,Table412[Loser Score])</f>
        <v>2331.5</v>
      </c>
    </row>
    <row r="21" spans="1:15" x14ac:dyDescent="0.25">
      <c r="A21" t="s">
        <v>20</v>
      </c>
      <c r="B21" t="s">
        <v>1</v>
      </c>
      <c r="C21" t="s">
        <v>2</v>
      </c>
      <c r="D21" t="s">
        <v>21</v>
      </c>
      <c r="E21" t="s">
        <v>1</v>
      </c>
      <c r="F21" t="s">
        <v>2</v>
      </c>
      <c r="G21" t="s">
        <v>22</v>
      </c>
      <c r="H21" t="s">
        <v>1</v>
      </c>
      <c r="I21" t="s">
        <v>2</v>
      </c>
      <c r="J21" t="s">
        <v>23</v>
      </c>
      <c r="K21" t="s">
        <v>1</v>
      </c>
      <c r="L21" t="s">
        <v>2</v>
      </c>
      <c r="M21" t="s">
        <v>24</v>
      </c>
      <c r="N21" t="s">
        <v>1</v>
      </c>
      <c r="O21" t="s">
        <v>2</v>
      </c>
    </row>
    <row r="22" spans="1:15" x14ac:dyDescent="0.25">
      <c r="A22" t="s">
        <v>7</v>
      </c>
      <c r="B22" s="4">
        <v>347</v>
      </c>
      <c r="C22">
        <v>338</v>
      </c>
      <c r="D22" t="s">
        <v>7</v>
      </c>
      <c r="E22" s="4">
        <v>443.5</v>
      </c>
      <c r="F22">
        <v>374</v>
      </c>
      <c r="G22" t="s">
        <v>7</v>
      </c>
      <c r="H22" s="4">
        <v>403</v>
      </c>
      <c r="I22">
        <v>334</v>
      </c>
      <c r="J22" t="s">
        <v>7</v>
      </c>
      <c r="K22" s="4">
        <v>475</v>
      </c>
      <c r="L22">
        <v>400</v>
      </c>
      <c r="M22" t="s">
        <v>7</v>
      </c>
      <c r="N22" s="4">
        <v>484.5</v>
      </c>
      <c r="O22">
        <v>343</v>
      </c>
    </row>
    <row r="23" spans="1:15" x14ac:dyDescent="0.25">
      <c r="A23" t="s">
        <v>8</v>
      </c>
      <c r="B23" s="4">
        <v>448.5</v>
      </c>
      <c r="C23">
        <v>444.5</v>
      </c>
      <c r="D23" t="s">
        <v>8</v>
      </c>
      <c r="E23" s="4">
        <v>466.5</v>
      </c>
      <c r="F23">
        <v>410.5</v>
      </c>
      <c r="G23" t="s">
        <v>8</v>
      </c>
      <c r="H23" s="4">
        <v>481.5</v>
      </c>
      <c r="I23">
        <v>366.5</v>
      </c>
      <c r="J23" t="s">
        <v>8</v>
      </c>
      <c r="K23" s="4">
        <v>446</v>
      </c>
      <c r="L23">
        <v>324</v>
      </c>
      <c r="M23" t="s">
        <v>8</v>
      </c>
      <c r="N23" s="4">
        <v>479</v>
      </c>
      <c r="O23">
        <v>275</v>
      </c>
    </row>
    <row r="24" spans="1:15" x14ac:dyDescent="0.25">
      <c r="A24" t="s">
        <v>9</v>
      </c>
      <c r="B24" s="4">
        <v>441.5</v>
      </c>
      <c r="C24">
        <v>411</v>
      </c>
      <c r="D24" t="s">
        <v>9</v>
      </c>
      <c r="E24" s="4">
        <v>401</v>
      </c>
      <c r="F24">
        <v>298.5</v>
      </c>
      <c r="G24" t="s">
        <v>9</v>
      </c>
      <c r="H24" s="4">
        <v>439</v>
      </c>
      <c r="I24">
        <v>240</v>
      </c>
      <c r="J24" t="s">
        <v>9</v>
      </c>
      <c r="K24" s="4">
        <v>591</v>
      </c>
      <c r="L24">
        <v>402.5</v>
      </c>
      <c r="M24" t="s">
        <v>9</v>
      </c>
      <c r="N24" s="4">
        <v>589</v>
      </c>
      <c r="O24">
        <v>434.5</v>
      </c>
    </row>
    <row r="25" spans="1:15" x14ac:dyDescent="0.25">
      <c r="A25" t="s">
        <v>10</v>
      </c>
      <c r="B25" s="4">
        <v>464</v>
      </c>
      <c r="C25">
        <v>328.5</v>
      </c>
      <c r="D25" t="s">
        <v>10</v>
      </c>
      <c r="E25" s="4">
        <v>453.5</v>
      </c>
      <c r="F25">
        <v>408</v>
      </c>
      <c r="G25" t="s">
        <v>10</v>
      </c>
      <c r="H25" s="4">
        <v>384</v>
      </c>
      <c r="I25">
        <v>333.5</v>
      </c>
      <c r="J25" t="s">
        <v>10</v>
      </c>
      <c r="K25" s="4">
        <v>391</v>
      </c>
      <c r="L25">
        <v>278</v>
      </c>
      <c r="M25" t="s">
        <v>10</v>
      </c>
      <c r="N25" s="4">
        <v>386</v>
      </c>
      <c r="O25">
        <v>322</v>
      </c>
    </row>
    <row r="26" spans="1:15" x14ac:dyDescent="0.25">
      <c r="A26" t="s">
        <v>11</v>
      </c>
      <c r="B26" s="4">
        <v>450</v>
      </c>
      <c r="C26">
        <v>415.5</v>
      </c>
      <c r="D26" t="s">
        <v>11</v>
      </c>
      <c r="E26" s="4">
        <v>443.5</v>
      </c>
      <c r="F26">
        <v>401.5</v>
      </c>
      <c r="G26" t="s">
        <v>11</v>
      </c>
      <c r="H26" s="4">
        <v>597.5</v>
      </c>
      <c r="I26">
        <v>369</v>
      </c>
      <c r="J26" t="s">
        <v>11</v>
      </c>
      <c r="K26" s="4">
        <v>458.5</v>
      </c>
      <c r="L26">
        <v>308</v>
      </c>
      <c r="M26" t="s">
        <v>11</v>
      </c>
      <c r="N26" s="4">
        <v>471.5</v>
      </c>
      <c r="O26">
        <v>418</v>
      </c>
    </row>
    <row r="27" spans="1:15" ht="16.5" thickBot="1" x14ac:dyDescent="0.3">
      <c r="A27" t="s">
        <v>12</v>
      </c>
      <c r="B27" s="4">
        <v>423.5</v>
      </c>
      <c r="C27">
        <v>319.5</v>
      </c>
      <c r="D27" t="s">
        <v>12</v>
      </c>
      <c r="E27" s="4">
        <v>369</v>
      </c>
      <c r="F27">
        <v>311.5</v>
      </c>
      <c r="G27" t="s">
        <v>12</v>
      </c>
      <c r="H27" s="4">
        <v>464.5</v>
      </c>
      <c r="I27">
        <v>380</v>
      </c>
      <c r="J27" t="s">
        <v>12</v>
      </c>
      <c r="K27" s="4">
        <v>495.5</v>
      </c>
      <c r="L27">
        <v>329.5</v>
      </c>
      <c r="M27" t="s">
        <v>12</v>
      </c>
      <c r="N27" s="4">
        <v>333</v>
      </c>
      <c r="O27">
        <v>272</v>
      </c>
    </row>
    <row r="28" spans="1:15" ht="16.5" thickTop="1" x14ac:dyDescent="0.25">
      <c r="A28" s="6" t="s">
        <v>13</v>
      </c>
      <c r="B28" s="7">
        <f>SUBTOTAL(1,Table11[Winner Score])</f>
        <v>429.08333333333331</v>
      </c>
      <c r="C28" s="5">
        <f>SUBTOTAL(1,Table11[Loser Score])</f>
        <v>376.16666666666669</v>
      </c>
      <c r="D28" s="6" t="s">
        <v>13</v>
      </c>
      <c r="E28" s="7">
        <f>SUBTOTAL(1,Table614[Winner Score])</f>
        <v>429.5</v>
      </c>
      <c r="F28" s="5">
        <f>SUBTOTAL(1,Table614[Loser Score])</f>
        <v>367.33333333333331</v>
      </c>
      <c r="G28" s="6" t="s">
        <v>13</v>
      </c>
      <c r="H28" s="7">
        <f>SUBTOTAL(1,Table13[Winner Score])</f>
        <v>461.58333333333331</v>
      </c>
      <c r="I28" s="5">
        <f>SUBTOTAL(1,Table13[Loser Score])</f>
        <v>337.16666666666669</v>
      </c>
      <c r="J28" s="6" t="s">
        <v>13</v>
      </c>
      <c r="K28" s="7">
        <f>SUBTOTAL(1,Table14[Winner Score])</f>
        <v>476.16666666666669</v>
      </c>
      <c r="L28" s="5">
        <f>SUBTOTAL(1,Table14[Loser Score])</f>
        <v>340.33333333333331</v>
      </c>
      <c r="M28" s="6" t="s">
        <v>13</v>
      </c>
      <c r="N28" s="7">
        <f>SUBTOTAL(1,Table15[Winner Score])</f>
        <v>457.16666666666669</v>
      </c>
      <c r="O28" s="5">
        <f>SUBTOTAL(1,Table15[Loser Score])</f>
        <v>344.08333333333331</v>
      </c>
    </row>
    <row r="29" spans="1:15" x14ac:dyDescent="0.25">
      <c r="A29" t="s">
        <v>14</v>
      </c>
      <c r="B29" s="4">
        <f>SUBTOTAL(9,Table11[Winner Score])</f>
        <v>2574.5</v>
      </c>
      <c r="C29">
        <f>SUBTOTAL(9,Table11[Loser Score])</f>
        <v>2257</v>
      </c>
      <c r="D29" t="s">
        <v>14</v>
      </c>
      <c r="E29" s="4">
        <f>SUBTOTAL(9,Table614[Winner Score])</f>
        <v>2577</v>
      </c>
      <c r="F29">
        <f>SUBTOTAL(9,Table614[Loser Score])</f>
        <v>2204</v>
      </c>
      <c r="G29" t="s">
        <v>14</v>
      </c>
      <c r="H29" s="4">
        <f>SUBTOTAL(9,Table13[Winner Score])</f>
        <v>2769.5</v>
      </c>
      <c r="I29">
        <f>SUBTOTAL(9,Table13[Loser Score])</f>
        <v>2023</v>
      </c>
      <c r="J29" t="s">
        <v>14</v>
      </c>
      <c r="K29" s="4">
        <f>SUBTOTAL(9,Table14[Winner Score])</f>
        <v>2857</v>
      </c>
      <c r="L29">
        <f>SUBTOTAL(9,Table14[Loser Score])</f>
        <v>2042</v>
      </c>
      <c r="M29" t="s">
        <v>14</v>
      </c>
      <c r="N29" s="4">
        <f>SUBTOTAL(9,Table15[Winner Score])</f>
        <v>2743</v>
      </c>
      <c r="O29">
        <f>SUBTOTAL(9,Table15[Loser Score])</f>
        <v>2064.5</v>
      </c>
    </row>
    <row r="31" spans="1:15" x14ac:dyDescent="0.25">
      <c r="A31" t="s">
        <v>25</v>
      </c>
      <c r="B31" t="s">
        <v>1</v>
      </c>
      <c r="C31" t="s">
        <v>2</v>
      </c>
      <c r="D31" t="s">
        <v>26</v>
      </c>
      <c r="E31" t="s">
        <v>1</v>
      </c>
      <c r="F31" t="s">
        <v>2</v>
      </c>
      <c r="G31" t="s">
        <v>27</v>
      </c>
      <c r="H31" t="s">
        <v>1</v>
      </c>
      <c r="I31" t="s">
        <v>2</v>
      </c>
      <c r="J31" t="s">
        <v>28</v>
      </c>
      <c r="K31" t="s">
        <v>1</v>
      </c>
      <c r="L31" t="s">
        <v>2</v>
      </c>
      <c r="M31" s="9" t="s">
        <v>29</v>
      </c>
      <c r="O31" s="8">
        <f>AVERAGE(B8,E8,H8,K8,N8,B18,E18,H18,K18,N18,B28,E28,H28,K28,N28,B38,E38,H38,K38)</f>
        <v>450.06578947368422</v>
      </c>
    </row>
    <row r="32" spans="1:15" x14ac:dyDescent="0.25">
      <c r="A32" t="s">
        <v>7</v>
      </c>
      <c r="B32" s="4">
        <v>570</v>
      </c>
      <c r="C32">
        <v>478.5</v>
      </c>
      <c r="D32" t="s">
        <v>7</v>
      </c>
      <c r="E32" s="4">
        <v>468.5</v>
      </c>
      <c r="F32">
        <v>422</v>
      </c>
      <c r="G32" t="s">
        <v>7</v>
      </c>
      <c r="H32" s="4">
        <v>371.5</v>
      </c>
      <c r="I32">
        <v>291.5</v>
      </c>
      <c r="J32" t="s">
        <v>7</v>
      </c>
      <c r="K32" s="4">
        <v>481.5</v>
      </c>
      <c r="L32">
        <v>365.5</v>
      </c>
      <c r="M32" t="s">
        <v>30</v>
      </c>
      <c r="O32">
        <f>AVERAGE(C8,F8,I8,L8,O8,C18,F18,I18,L18,O18,C28,F28,I28,L28,O28,C38,F38,I38,L38)</f>
        <v>366.10701754385968</v>
      </c>
    </row>
    <row r="33" spans="1:12" x14ac:dyDescent="0.25">
      <c r="A33" t="s">
        <v>8</v>
      </c>
      <c r="B33" s="4">
        <v>643</v>
      </c>
      <c r="C33">
        <v>534</v>
      </c>
      <c r="D33" t="s">
        <v>8</v>
      </c>
      <c r="E33" s="4">
        <v>372.5</v>
      </c>
      <c r="F33">
        <v>301.5</v>
      </c>
      <c r="G33" t="s">
        <v>8</v>
      </c>
      <c r="H33" s="4">
        <v>409.5</v>
      </c>
      <c r="I33">
        <v>278.5</v>
      </c>
      <c r="J33" t="s">
        <v>8</v>
      </c>
      <c r="K33" s="4">
        <v>521</v>
      </c>
      <c r="L33">
        <v>366.5</v>
      </c>
    </row>
    <row r="34" spans="1:12" x14ac:dyDescent="0.25">
      <c r="A34" t="s">
        <v>9</v>
      </c>
      <c r="B34" s="4">
        <v>555</v>
      </c>
      <c r="C34">
        <v>510.5</v>
      </c>
      <c r="D34" t="s">
        <v>9</v>
      </c>
      <c r="E34" s="4">
        <v>553</v>
      </c>
      <c r="F34">
        <v>432</v>
      </c>
      <c r="G34" t="s">
        <v>9</v>
      </c>
      <c r="H34" s="4">
        <v>394.5</v>
      </c>
      <c r="I34">
        <v>350</v>
      </c>
      <c r="J34" t="s">
        <v>9</v>
      </c>
      <c r="K34" s="4">
        <v>373</v>
      </c>
      <c r="L34">
        <v>361.5</v>
      </c>
    </row>
    <row r="35" spans="1:12" x14ac:dyDescent="0.25">
      <c r="A35" t="s">
        <v>10</v>
      </c>
      <c r="B35" s="4">
        <v>741.5</v>
      </c>
      <c r="C35">
        <v>551.5</v>
      </c>
      <c r="D35" t="s">
        <v>10</v>
      </c>
      <c r="E35" s="4">
        <v>442</v>
      </c>
      <c r="F35">
        <v>386.5</v>
      </c>
      <c r="G35" t="s">
        <v>10</v>
      </c>
      <c r="H35" s="4">
        <v>434.5</v>
      </c>
      <c r="I35">
        <v>345</v>
      </c>
      <c r="J35" t="s">
        <v>10</v>
      </c>
      <c r="K35" s="4">
        <v>494.5</v>
      </c>
      <c r="L35">
        <v>494.5</v>
      </c>
    </row>
    <row r="36" spans="1:12" x14ac:dyDescent="0.25">
      <c r="A36" t="s">
        <v>11</v>
      </c>
      <c r="B36" s="4">
        <v>610.5</v>
      </c>
      <c r="C36">
        <v>452.5</v>
      </c>
      <c r="D36" t="s">
        <v>11</v>
      </c>
      <c r="E36" s="4">
        <v>452</v>
      </c>
      <c r="F36">
        <v>255</v>
      </c>
      <c r="G36" t="s">
        <v>11</v>
      </c>
      <c r="H36" s="4">
        <v>425.5</v>
      </c>
      <c r="I36">
        <v>315.5</v>
      </c>
      <c r="J36" t="s">
        <v>11</v>
      </c>
      <c r="K36" s="4">
        <v>379.5</v>
      </c>
      <c r="L36">
        <v>277.5</v>
      </c>
    </row>
    <row r="37" spans="1:12" ht="16.5" thickBot="1" x14ac:dyDescent="0.3">
      <c r="A37" t="s">
        <v>12</v>
      </c>
      <c r="B37" s="4">
        <v>758</v>
      </c>
      <c r="C37">
        <v>585</v>
      </c>
      <c r="D37" t="s">
        <v>12</v>
      </c>
      <c r="E37" s="4">
        <v>460</v>
      </c>
      <c r="F37">
        <v>382</v>
      </c>
      <c r="G37" t="s">
        <v>12</v>
      </c>
      <c r="H37" s="4">
        <v>383</v>
      </c>
      <c r="I37">
        <v>372.5</v>
      </c>
      <c r="J37" t="s">
        <v>12</v>
      </c>
      <c r="K37" s="4">
        <v>569.5</v>
      </c>
      <c r="L37">
        <v>234.5</v>
      </c>
    </row>
    <row r="38" spans="1:12" ht="16.5" thickTop="1" x14ac:dyDescent="0.25">
      <c r="A38" s="6" t="s">
        <v>13</v>
      </c>
      <c r="B38" s="7">
        <f>SUBTOTAL(1,Table16[Winner Score])</f>
        <v>646.33333333333337</v>
      </c>
      <c r="C38" s="5">
        <f>SUBTOTAL(1,Table16[Loser Score])</f>
        <v>518.66666666666663</v>
      </c>
      <c r="D38" s="6" t="s">
        <v>13</v>
      </c>
      <c r="E38" s="7">
        <f>SUBTOTAL(1,Table17[Winner Score])</f>
        <v>458</v>
      </c>
      <c r="F38" s="5">
        <f>SUBTOTAL(1,Table17[Loser Score])</f>
        <v>363.16666666666669</v>
      </c>
      <c r="G38" s="6" t="s">
        <v>13</v>
      </c>
      <c r="H38" s="7">
        <f>SUBTOTAL(1,Table61420[Winner Score])</f>
        <v>403.08333333333331</v>
      </c>
      <c r="I38" s="5">
        <f>SUBTOTAL(1,Table61420[Loser Score])</f>
        <v>325.5</v>
      </c>
      <c r="J38" s="6" t="s">
        <v>13</v>
      </c>
      <c r="K38" s="7">
        <f>SUBTOTAL(1,Table19[Winner Score])</f>
        <v>469.83333333333331</v>
      </c>
      <c r="L38" s="5">
        <f>SUBTOTAL(1,Table19[Loser Score])</f>
        <v>350</v>
      </c>
    </row>
    <row r="39" spans="1:12" x14ac:dyDescent="0.25">
      <c r="A39" t="s">
        <v>14</v>
      </c>
      <c r="B39" s="4">
        <f>SUBTOTAL(9,Table16[Winner Score])</f>
        <v>3878</v>
      </c>
      <c r="C39">
        <f>SUBTOTAL(9,Table16[Loser Score])</f>
        <v>3112</v>
      </c>
      <c r="D39" t="s">
        <v>14</v>
      </c>
      <c r="E39" s="4">
        <f>SUBTOTAL(9,Table17[Winner Score])</f>
        <v>2748</v>
      </c>
      <c r="F39">
        <f>SUBTOTAL(9,Table17[Loser Score])</f>
        <v>2179</v>
      </c>
      <c r="G39" t="s">
        <v>14</v>
      </c>
      <c r="H39" s="4">
        <f>SUBTOTAL(9,Table61420[Winner Score])</f>
        <v>2418.5</v>
      </c>
      <c r="I39">
        <f>SUBTOTAL(9,Table61420[Loser Score])</f>
        <v>1953</v>
      </c>
      <c r="J39" t="s">
        <v>14</v>
      </c>
      <c r="K39" s="4">
        <f>SUBTOTAL(9,Table19[Winner Score])</f>
        <v>2819</v>
      </c>
      <c r="L39">
        <f>SUBTOTAL(9,Table19[Loser Score])</f>
        <v>2100</v>
      </c>
    </row>
  </sheetData>
  <phoneticPr fontId="3" type="noConversion"/>
  <pageMargins left="0.7" right="0.7" top="0.75" bottom="0.75" header="0.3" footer="0.3"/>
  <tableParts count="20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CE8A1-50B0-4649-AFC0-8507D4B2821B}">
  <dimension ref="A1:O39"/>
  <sheetViews>
    <sheetView workbookViewId="0">
      <selection activeCell="Q35" sqref="Q35"/>
    </sheetView>
  </sheetViews>
  <sheetFormatPr defaultColWidth="11" defaultRowHeight="15.75" x14ac:dyDescent="0.25"/>
  <cols>
    <col min="1" max="1" width="9.625" bestFit="1" customWidth="1"/>
    <col min="2" max="3" width="12.125" bestFit="1" customWidth="1"/>
    <col min="4" max="4" width="9.625" bestFit="1" customWidth="1"/>
    <col min="5" max="6" width="12.125" bestFit="1" customWidth="1"/>
    <col min="7" max="7" width="9.625" bestFit="1" customWidth="1"/>
    <col min="8" max="9" width="12.125" bestFit="1" customWidth="1"/>
    <col min="10" max="10" width="9.625" bestFit="1" customWidth="1"/>
    <col min="11" max="12" width="12.125" bestFit="1" customWidth="1"/>
    <col min="13" max="13" width="11" customWidth="1"/>
    <col min="14" max="15" width="12.1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1</v>
      </c>
      <c r="F1" t="s">
        <v>2</v>
      </c>
      <c r="G1" t="s">
        <v>4</v>
      </c>
      <c r="H1" t="s">
        <v>1</v>
      </c>
      <c r="I1" t="s">
        <v>2</v>
      </c>
      <c r="J1" t="s">
        <v>5</v>
      </c>
      <c r="K1" t="s">
        <v>1</v>
      </c>
      <c r="L1" t="s">
        <v>2</v>
      </c>
      <c r="M1" t="s">
        <v>6</v>
      </c>
      <c r="N1" t="s">
        <v>1</v>
      </c>
      <c r="O1" t="s">
        <v>2</v>
      </c>
    </row>
    <row r="2" spans="1:15" x14ac:dyDescent="0.25">
      <c r="A2" t="s">
        <v>7</v>
      </c>
      <c r="B2" s="4">
        <v>724</v>
      </c>
      <c r="C2">
        <v>716.5</v>
      </c>
      <c r="D2" t="s">
        <v>7</v>
      </c>
      <c r="E2" s="4">
        <v>521</v>
      </c>
      <c r="F2">
        <v>397.5</v>
      </c>
      <c r="G2" t="s">
        <v>7</v>
      </c>
      <c r="H2" s="4">
        <v>457</v>
      </c>
      <c r="I2">
        <v>455.5</v>
      </c>
      <c r="J2" t="s">
        <v>7</v>
      </c>
      <c r="K2" s="4">
        <v>462.5</v>
      </c>
      <c r="L2">
        <v>438.5</v>
      </c>
      <c r="M2" t="s">
        <v>7</v>
      </c>
      <c r="N2" s="4">
        <v>423.5</v>
      </c>
      <c r="O2">
        <v>362</v>
      </c>
    </row>
    <row r="3" spans="1:15" x14ac:dyDescent="0.25">
      <c r="A3" t="s">
        <v>8</v>
      </c>
      <c r="B3" s="4">
        <v>704</v>
      </c>
      <c r="C3">
        <v>697</v>
      </c>
      <c r="D3" t="s">
        <v>8</v>
      </c>
      <c r="E3" s="4">
        <v>604.5</v>
      </c>
      <c r="F3">
        <v>485.5</v>
      </c>
      <c r="G3" t="s">
        <v>8</v>
      </c>
      <c r="H3" s="4">
        <v>444.5</v>
      </c>
      <c r="I3">
        <v>378</v>
      </c>
      <c r="J3" t="s">
        <v>8</v>
      </c>
      <c r="K3" s="4">
        <v>440.5</v>
      </c>
      <c r="L3">
        <v>389.5</v>
      </c>
      <c r="M3" t="s">
        <v>8</v>
      </c>
      <c r="N3" s="4">
        <v>510</v>
      </c>
      <c r="O3">
        <v>376.5</v>
      </c>
    </row>
    <row r="4" spans="1:15" x14ac:dyDescent="0.25">
      <c r="A4" t="s">
        <v>9</v>
      </c>
      <c r="B4" s="4">
        <v>644.5</v>
      </c>
      <c r="C4">
        <v>619.5</v>
      </c>
      <c r="D4" t="s">
        <v>9</v>
      </c>
      <c r="E4" s="4">
        <v>438.5</v>
      </c>
      <c r="F4">
        <v>360.5</v>
      </c>
      <c r="G4" t="s">
        <v>9</v>
      </c>
      <c r="H4" s="4">
        <v>441</v>
      </c>
      <c r="I4">
        <v>409</v>
      </c>
      <c r="J4" t="s">
        <v>9</v>
      </c>
      <c r="K4" s="4">
        <v>393.5</v>
      </c>
      <c r="L4">
        <v>390.5</v>
      </c>
      <c r="M4" t="s">
        <v>9</v>
      </c>
      <c r="N4" s="4">
        <v>506.5</v>
      </c>
      <c r="O4">
        <v>439.5</v>
      </c>
    </row>
    <row r="5" spans="1:15" x14ac:dyDescent="0.25">
      <c r="A5" t="s">
        <v>10</v>
      </c>
      <c r="B5" s="4">
        <v>652</v>
      </c>
      <c r="C5">
        <v>529</v>
      </c>
      <c r="D5" t="s">
        <v>10</v>
      </c>
      <c r="E5" s="4">
        <v>472</v>
      </c>
      <c r="F5">
        <v>384.5</v>
      </c>
      <c r="G5" t="s">
        <v>10</v>
      </c>
      <c r="H5" s="4">
        <v>401</v>
      </c>
      <c r="I5">
        <v>351.5</v>
      </c>
      <c r="J5" t="s">
        <v>10</v>
      </c>
      <c r="K5" s="4">
        <v>366</v>
      </c>
      <c r="L5">
        <v>354.5</v>
      </c>
      <c r="M5" t="s">
        <v>10</v>
      </c>
      <c r="N5" s="4">
        <v>512</v>
      </c>
      <c r="O5">
        <v>321.5</v>
      </c>
    </row>
    <row r="6" spans="1:15" x14ac:dyDescent="0.25">
      <c r="A6" t="s">
        <v>11</v>
      </c>
      <c r="B6" s="4">
        <v>796</v>
      </c>
      <c r="C6">
        <v>594</v>
      </c>
      <c r="D6" t="s">
        <v>11</v>
      </c>
      <c r="E6" s="4">
        <v>475</v>
      </c>
      <c r="F6">
        <v>361</v>
      </c>
      <c r="G6" t="s">
        <v>11</v>
      </c>
      <c r="H6" s="4">
        <v>504</v>
      </c>
      <c r="I6">
        <v>478.5</v>
      </c>
      <c r="J6" t="s">
        <v>11</v>
      </c>
      <c r="K6" s="4">
        <v>458</v>
      </c>
      <c r="L6">
        <v>334.5</v>
      </c>
      <c r="M6" t="s">
        <v>11</v>
      </c>
      <c r="N6" s="4">
        <v>409</v>
      </c>
      <c r="O6">
        <v>405</v>
      </c>
    </row>
    <row r="7" spans="1:15" ht="16.5" thickBot="1" x14ac:dyDescent="0.3">
      <c r="A7" t="s">
        <v>12</v>
      </c>
      <c r="B7" s="4">
        <v>756</v>
      </c>
      <c r="C7">
        <v>520</v>
      </c>
      <c r="D7" t="s">
        <v>12</v>
      </c>
      <c r="E7" s="4">
        <v>427</v>
      </c>
      <c r="F7">
        <v>346.5</v>
      </c>
      <c r="G7" t="s">
        <v>12</v>
      </c>
      <c r="H7" s="4">
        <v>411.5</v>
      </c>
      <c r="I7">
        <v>388</v>
      </c>
      <c r="J7" t="s">
        <v>12</v>
      </c>
      <c r="K7" s="4">
        <v>433.5</v>
      </c>
      <c r="L7">
        <v>333.5</v>
      </c>
      <c r="M7" t="s">
        <v>12</v>
      </c>
      <c r="N7" s="4">
        <v>432</v>
      </c>
      <c r="O7">
        <v>313.5</v>
      </c>
    </row>
    <row r="8" spans="1:15" ht="16.5" thickTop="1" x14ac:dyDescent="0.25">
      <c r="A8" s="6" t="s">
        <v>13</v>
      </c>
      <c r="B8" s="7">
        <f>SUBTOTAL(1,Table127[Winner Score])</f>
        <v>712.75</v>
      </c>
      <c r="C8" s="5">
        <f>SUBTOTAL(1,Table127[Loser Score])</f>
        <v>612.66666666666663</v>
      </c>
      <c r="D8" s="6" t="s">
        <v>13</v>
      </c>
      <c r="E8" s="7">
        <f>SUBTOTAL(1,Table228[Winner Score])</f>
        <v>489.66666666666669</v>
      </c>
      <c r="F8" s="5">
        <f>SUBTOTAL(1,Table228[Loser Score])</f>
        <v>389.25</v>
      </c>
      <c r="G8" s="6" t="s">
        <v>13</v>
      </c>
      <c r="H8" s="7">
        <f>SUBTOTAL(1,Table329[Winner Score])</f>
        <v>443.16666666666669</v>
      </c>
      <c r="I8" s="5">
        <f>SUBTOTAL(1,Table329[Loser Score])</f>
        <v>410.08333333333331</v>
      </c>
      <c r="J8" s="6" t="s">
        <v>13</v>
      </c>
      <c r="K8" s="7">
        <f>SUBTOTAL(1,Table430[Winner Score])</f>
        <v>425.66666666666669</v>
      </c>
      <c r="L8" s="5">
        <f>SUBTOTAL(1,Table430[Loser Score])</f>
        <v>373.5</v>
      </c>
      <c r="M8" s="6" t="s">
        <v>13</v>
      </c>
      <c r="N8" s="7">
        <f>SUBTOTAL(1,Table531[Winner Score])</f>
        <v>465.5</v>
      </c>
      <c r="O8" s="5">
        <f>SUBTOTAL(1,Table531[Loser Score])</f>
        <v>369.66666666666669</v>
      </c>
    </row>
    <row r="9" spans="1:15" x14ac:dyDescent="0.25">
      <c r="A9" t="s">
        <v>14</v>
      </c>
      <c r="B9" s="4">
        <f>SUBTOTAL(9,Table127[Winner Score])</f>
        <v>4276.5</v>
      </c>
      <c r="C9">
        <f>SUBTOTAL(9,Table127[Loser Score])</f>
        <v>3676</v>
      </c>
      <c r="D9" t="s">
        <v>14</v>
      </c>
      <c r="E9" s="4">
        <f>SUBTOTAL(9,Table228[Winner Score])</f>
        <v>2938</v>
      </c>
      <c r="F9">
        <f>SUBTOTAL(9,Table228[Loser Score])</f>
        <v>2335.5</v>
      </c>
      <c r="G9" t="s">
        <v>14</v>
      </c>
      <c r="H9" s="4">
        <f>SUBTOTAL(9,Table329[Winner Score])</f>
        <v>2659</v>
      </c>
      <c r="I9">
        <f>SUBTOTAL(9,Table329[Loser Score])</f>
        <v>2460.5</v>
      </c>
      <c r="J9" t="s">
        <v>14</v>
      </c>
      <c r="K9" s="4">
        <f>SUBTOTAL(9,Table430[Winner Score])</f>
        <v>2554</v>
      </c>
      <c r="L9">
        <f>SUBTOTAL(9,Table430[Loser Score])</f>
        <v>2241</v>
      </c>
      <c r="M9" t="s">
        <v>14</v>
      </c>
      <c r="N9" s="4">
        <f>SUBTOTAL(9,Table531[Winner Score])</f>
        <v>2793</v>
      </c>
      <c r="O9">
        <f>SUBTOTAL(9,Table531[Loser Score])</f>
        <v>2218</v>
      </c>
    </row>
    <row r="11" spans="1:15" x14ac:dyDescent="0.25">
      <c r="A11" t="s">
        <v>15</v>
      </c>
      <c r="B11" t="s">
        <v>1</v>
      </c>
      <c r="C11" t="s">
        <v>2</v>
      </c>
      <c r="D11" t="s">
        <v>16</v>
      </c>
      <c r="E11" t="s">
        <v>1</v>
      </c>
      <c r="F11" t="s">
        <v>2</v>
      </c>
      <c r="G11" t="s">
        <v>17</v>
      </c>
      <c r="H11" t="s">
        <v>1</v>
      </c>
      <c r="I11" t="s">
        <v>2</v>
      </c>
      <c r="J11" t="s">
        <v>18</v>
      </c>
      <c r="K11" t="s">
        <v>1</v>
      </c>
      <c r="L11" t="s">
        <v>2</v>
      </c>
      <c r="M11" t="s">
        <v>19</v>
      </c>
      <c r="N11" t="s">
        <v>1</v>
      </c>
      <c r="O11" t="s">
        <v>2</v>
      </c>
    </row>
    <row r="12" spans="1:15" x14ac:dyDescent="0.25">
      <c r="A12" t="s">
        <v>7</v>
      </c>
      <c r="B12" s="4">
        <v>641</v>
      </c>
      <c r="C12">
        <v>429.5</v>
      </c>
      <c r="D12" t="s">
        <v>7</v>
      </c>
      <c r="E12" s="4">
        <v>459</v>
      </c>
      <c r="F12">
        <v>346.5</v>
      </c>
      <c r="G12" t="s">
        <v>7</v>
      </c>
      <c r="H12" s="4">
        <v>411</v>
      </c>
      <c r="I12">
        <v>314</v>
      </c>
      <c r="J12" t="s">
        <v>7</v>
      </c>
      <c r="K12" s="4">
        <v>384</v>
      </c>
      <c r="L12">
        <v>315.5</v>
      </c>
      <c r="M12" t="s">
        <v>7</v>
      </c>
      <c r="N12" s="4">
        <v>483</v>
      </c>
      <c r="O12">
        <v>338.5</v>
      </c>
    </row>
    <row r="13" spans="1:15" x14ac:dyDescent="0.25">
      <c r="A13" t="s">
        <v>8</v>
      </c>
      <c r="B13" s="4">
        <v>403.5</v>
      </c>
      <c r="C13">
        <v>370.5</v>
      </c>
      <c r="D13" t="s">
        <v>8</v>
      </c>
      <c r="E13" s="4">
        <v>422.5</v>
      </c>
      <c r="F13">
        <v>318.5</v>
      </c>
      <c r="G13" t="s">
        <v>8</v>
      </c>
      <c r="H13" s="4">
        <v>418</v>
      </c>
      <c r="I13">
        <v>385</v>
      </c>
      <c r="J13" t="s">
        <v>8</v>
      </c>
      <c r="K13" s="4">
        <v>443</v>
      </c>
      <c r="L13">
        <v>404.5</v>
      </c>
      <c r="M13" t="s">
        <v>8</v>
      </c>
      <c r="N13" s="4">
        <v>403.5</v>
      </c>
      <c r="O13">
        <v>367</v>
      </c>
    </row>
    <row r="14" spans="1:15" x14ac:dyDescent="0.25">
      <c r="A14" t="s">
        <v>9</v>
      </c>
      <c r="B14" s="4">
        <v>521</v>
      </c>
      <c r="C14">
        <v>414</v>
      </c>
      <c r="D14" t="s">
        <v>9</v>
      </c>
      <c r="E14" s="4">
        <v>468.5</v>
      </c>
      <c r="F14">
        <v>426</v>
      </c>
      <c r="G14" t="s">
        <v>9</v>
      </c>
      <c r="H14" s="4">
        <v>501.5</v>
      </c>
      <c r="I14">
        <v>482</v>
      </c>
      <c r="J14" t="s">
        <v>9</v>
      </c>
      <c r="K14" s="4">
        <v>427</v>
      </c>
      <c r="L14">
        <v>343</v>
      </c>
      <c r="M14" t="s">
        <v>9</v>
      </c>
      <c r="N14" s="4">
        <v>464.5</v>
      </c>
      <c r="O14">
        <v>401.5</v>
      </c>
    </row>
    <row r="15" spans="1:15" x14ac:dyDescent="0.25">
      <c r="A15" t="s">
        <v>10</v>
      </c>
      <c r="B15" s="4">
        <v>415</v>
      </c>
      <c r="C15">
        <v>356</v>
      </c>
      <c r="D15" t="s">
        <v>10</v>
      </c>
      <c r="E15" s="4">
        <v>474</v>
      </c>
      <c r="F15">
        <v>323</v>
      </c>
      <c r="G15" t="s">
        <v>10</v>
      </c>
      <c r="H15" s="4">
        <v>411.5</v>
      </c>
      <c r="I15">
        <v>344.5</v>
      </c>
      <c r="J15" t="s">
        <v>10</v>
      </c>
      <c r="K15" s="4">
        <v>437</v>
      </c>
      <c r="L15">
        <v>369</v>
      </c>
      <c r="M15" t="s">
        <v>10</v>
      </c>
      <c r="N15" s="4">
        <v>455.5</v>
      </c>
      <c r="O15">
        <v>383</v>
      </c>
    </row>
    <row r="16" spans="1:15" x14ac:dyDescent="0.25">
      <c r="A16" t="s">
        <v>11</v>
      </c>
      <c r="B16" s="4">
        <v>455</v>
      </c>
      <c r="C16">
        <v>403.5</v>
      </c>
      <c r="D16" t="s">
        <v>11</v>
      </c>
      <c r="E16" s="4">
        <v>468.5</v>
      </c>
      <c r="F16">
        <v>452.5</v>
      </c>
      <c r="G16" t="s">
        <v>11</v>
      </c>
      <c r="H16" s="4">
        <v>405.5</v>
      </c>
      <c r="I16">
        <v>318</v>
      </c>
      <c r="J16" t="s">
        <v>11</v>
      </c>
      <c r="K16" s="4">
        <v>405.5</v>
      </c>
      <c r="L16">
        <v>379.5</v>
      </c>
      <c r="M16" t="s">
        <v>11</v>
      </c>
      <c r="N16" s="4">
        <v>492.5</v>
      </c>
      <c r="O16">
        <v>449.5</v>
      </c>
    </row>
    <row r="17" spans="1:15" ht="16.5" thickBot="1" x14ac:dyDescent="0.3">
      <c r="A17" t="s">
        <v>12</v>
      </c>
      <c r="B17" s="4">
        <v>400</v>
      </c>
      <c r="C17">
        <v>328</v>
      </c>
      <c r="D17" t="s">
        <v>12</v>
      </c>
      <c r="E17" s="4">
        <v>488</v>
      </c>
      <c r="F17">
        <v>395</v>
      </c>
      <c r="G17" t="s">
        <v>12</v>
      </c>
      <c r="H17" s="4">
        <v>540.5</v>
      </c>
      <c r="I17">
        <v>359</v>
      </c>
      <c r="J17" t="s">
        <v>12</v>
      </c>
      <c r="K17" s="4">
        <v>423.5</v>
      </c>
      <c r="L17">
        <v>256.5</v>
      </c>
      <c r="M17" t="s">
        <v>12</v>
      </c>
      <c r="N17" s="4">
        <v>325.5</v>
      </c>
      <c r="O17">
        <v>292.5</v>
      </c>
    </row>
    <row r="18" spans="1:15" ht="16.5" thickTop="1" x14ac:dyDescent="0.25">
      <c r="A18" s="6" t="s">
        <v>13</v>
      </c>
      <c r="B18" s="7">
        <f>SUBTOTAL(1,Table632[Winner Score])</f>
        <v>472.58333333333331</v>
      </c>
      <c r="C18" s="5">
        <f>SUBTOTAL(1,Table632[Loser Score])</f>
        <v>383.58333333333331</v>
      </c>
      <c r="D18" s="6" t="s">
        <v>13</v>
      </c>
      <c r="E18" s="7">
        <f>SUBTOTAL(1,Table733[Winner Score])</f>
        <v>463.41666666666669</v>
      </c>
      <c r="F18" s="5">
        <f>SUBTOTAL(1,Table733[Loser Score])</f>
        <v>376.91666666666669</v>
      </c>
      <c r="G18" s="6" t="s">
        <v>13</v>
      </c>
      <c r="H18" s="7">
        <f>SUBTOTAL(1,Table834[Winner Score])</f>
        <v>448</v>
      </c>
      <c r="I18" s="5">
        <f>SUBTOTAL(1,Table834[Loser Score])</f>
        <v>367.08333333333331</v>
      </c>
      <c r="J18" s="6" t="s">
        <v>13</v>
      </c>
      <c r="K18" s="7">
        <f>SUBTOTAL(1,Table935[Winner Score])</f>
        <v>420</v>
      </c>
      <c r="L18" s="5">
        <f>SUBTOTAL(1,Table935[Loser Score])</f>
        <v>344.66666666666669</v>
      </c>
      <c r="M18" s="6" t="s">
        <v>13</v>
      </c>
      <c r="N18" s="7">
        <f>SUBTOTAL(1,Table41236[Winner Score])</f>
        <v>437.41666666666669</v>
      </c>
      <c r="O18" s="5">
        <f>SUBTOTAL(1,Table41236[Loser Score])</f>
        <v>372</v>
      </c>
    </row>
    <row r="19" spans="1:15" x14ac:dyDescent="0.25">
      <c r="A19" t="s">
        <v>14</v>
      </c>
      <c r="B19" s="4">
        <f>SUBTOTAL(9,Table632[Winner Score])</f>
        <v>2835.5</v>
      </c>
      <c r="C19">
        <f>SUBTOTAL(9,Table632[Loser Score])</f>
        <v>2301.5</v>
      </c>
      <c r="D19" t="s">
        <v>14</v>
      </c>
      <c r="E19" s="4">
        <f>SUBTOTAL(9,Table733[Winner Score])</f>
        <v>2780.5</v>
      </c>
      <c r="F19">
        <f>SUBTOTAL(9,Table733[Loser Score])</f>
        <v>2261.5</v>
      </c>
      <c r="G19" t="s">
        <v>14</v>
      </c>
      <c r="H19" s="4">
        <f>SUBTOTAL(9,Table834[Winner Score])</f>
        <v>2688</v>
      </c>
      <c r="I19">
        <f>SUBTOTAL(9,Table834[Loser Score])</f>
        <v>2202.5</v>
      </c>
      <c r="J19" t="s">
        <v>14</v>
      </c>
      <c r="K19" s="4">
        <f>SUBTOTAL(9,Table935[Winner Score])</f>
        <v>2520</v>
      </c>
      <c r="L19">
        <f>SUBTOTAL(9,Table935[Loser Score])</f>
        <v>2068</v>
      </c>
      <c r="M19" t="s">
        <v>14</v>
      </c>
      <c r="N19" s="4">
        <f>SUBTOTAL(9,Table41236[Winner Score])</f>
        <v>2624.5</v>
      </c>
      <c r="O19">
        <f>SUBTOTAL(9,Table41236[Loser Score])</f>
        <v>2232</v>
      </c>
    </row>
    <row r="21" spans="1:15" x14ac:dyDescent="0.25">
      <c r="A21" t="s">
        <v>20</v>
      </c>
      <c r="B21" t="s">
        <v>1</v>
      </c>
      <c r="C21" t="s">
        <v>2</v>
      </c>
      <c r="D21" t="s">
        <v>21</v>
      </c>
      <c r="E21" t="s">
        <v>1</v>
      </c>
      <c r="F21" t="s">
        <v>2</v>
      </c>
      <c r="G21" t="s">
        <v>22</v>
      </c>
      <c r="H21" t="s">
        <v>1</v>
      </c>
      <c r="I21" t="s">
        <v>2</v>
      </c>
      <c r="J21" t="s">
        <v>23</v>
      </c>
      <c r="K21" t="s">
        <v>1</v>
      </c>
      <c r="L21" t="s">
        <v>2</v>
      </c>
      <c r="M21" t="s">
        <v>24</v>
      </c>
      <c r="N21" t="s">
        <v>1</v>
      </c>
      <c r="O21" t="s">
        <v>2</v>
      </c>
    </row>
    <row r="22" spans="1:15" x14ac:dyDescent="0.25">
      <c r="A22" t="s">
        <v>7</v>
      </c>
      <c r="B22" s="4">
        <v>499.5</v>
      </c>
      <c r="C22">
        <v>333.5</v>
      </c>
      <c r="D22" t="s">
        <v>7</v>
      </c>
      <c r="E22" s="4">
        <v>457.5</v>
      </c>
      <c r="F22">
        <v>445.5</v>
      </c>
      <c r="G22" t="s">
        <v>7</v>
      </c>
      <c r="H22" s="4">
        <v>391.5</v>
      </c>
      <c r="I22">
        <v>307</v>
      </c>
      <c r="J22" t="s">
        <v>7</v>
      </c>
      <c r="K22" s="4">
        <v>687</v>
      </c>
      <c r="L22">
        <v>686.5</v>
      </c>
      <c r="M22" t="s">
        <v>7</v>
      </c>
      <c r="N22" s="4">
        <v>431.5</v>
      </c>
      <c r="O22">
        <v>410.5</v>
      </c>
    </row>
    <row r="23" spans="1:15" x14ac:dyDescent="0.25">
      <c r="A23" t="s">
        <v>8</v>
      </c>
      <c r="B23" s="4">
        <v>508</v>
      </c>
      <c r="C23">
        <v>382</v>
      </c>
      <c r="D23" t="s">
        <v>8</v>
      </c>
      <c r="E23" s="4">
        <v>455</v>
      </c>
      <c r="F23">
        <v>442</v>
      </c>
      <c r="G23" t="s">
        <v>8</v>
      </c>
      <c r="H23" s="4">
        <v>556</v>
      </c>
      <c r="I23">
        <v>467.5</v>
      </c>
      <c r="J23" t="s">
        <v>8</v>
      </c>
      <c r="K23" s="4">
        <v>657</v>
      </c>
      <c r="L23">
        <v>540.5</v>
      </c>
      <c r="M23" t="s">
        <v>8</v>
      </c>
      <c r="N23" s="4">
        <v>449</v>
      </c>
      <c r="O23">
        <v>319</v>
      </c>
    </row>
    <row r="24" spans="1:15" x14ac:dyDescent="0.25">
      <c r="A24" t="s">
        <v>9</v>
      </c>
      <c r="B24" s="4">
        <v>529</v>
      </c>
      <c r="C24">
        <v>415</v>
      </c>
      <c r="D24" t="s">
        <v>9</v>
      </c>
      <c r="E24" s="4">
        <v>465</v>
      </c>
      <c r="F24">
        <v>443.5</v>
      </c>
      <c r="G24" t="s">
        <v>9</v>
      </c>
      <c r="H24" s="4">
        <v>480</v>
      </c>
      <c r="I24">
        <v>341.5</v>
      </c>
      <c r="J24" t="s">
        <v>9</v>
      </c>
      <c r="K24" s="4">
        <v>635</v>
      </c>
      <c r="L24">
        <v>590</v>
      </c>
      <c r="M24" t="s">
        <v>9</v>
      </c>
      <c r="N24" s="4">
        <v>504</v>
      </c>
      <c r="O24">
        <v>287</v>
      </c>
    </row>
    <row r="25" spans="1:15" x14ac:dyDescent="0.25">
      <c r="A25" t="s">
        <v>10</v>
      </c>
      <c r="B25" s="4">
        <v>435</v>
      </c>
      <c r="C25">
        <v>286.5</v>
      </c>
      <c r="D25" t="s">
        <v>10</v>
      </c>
      <c r="E25" s="4">
        <v>467</v>
      </c>
      <c r="F25">
        <v>364.5</v>
      </c>
      <c r="G25" t="s">
        <v>10</v>
      </c>
      <c r="H25" s="4">
        <v>436</v>
      </c>
      <c r="I25">
        <v>344.5</v>
      </c>
      <c r="J25" t="s">
        <v>10</v>
      </c>
      <c r="K25" s="4">
        <v>687.5</v>
      </c>
      <c r="L25">
        <v>539.5</v>
      </c>
      <c r="M25" t="s">
        <v>10</v>
      </c>
      <c r="N25" s="4">
        <v>470.5</v>
      </c>
      <c r="O25">
        <v>364</v>
      </c>
    </row>
    <row r="26" spans="1:15" x14ac:dyDescent="0.25">
      <c r="A26" t="s">
        <v>11</v>
      </c>
      <c r="B26" s="4">
        <v>432</v>
      </c>
      <c r="C26">
        <v>329.5</v>
      </c>
      <c r="D26" t="s">
        <v>11</v>
      </c>
      <c r="E26" s="4">
        <v>536</v>
      </c>
      <c r="F26">
        <v>423.5</v>
      </c>
      <c r="G26" t="s">
        <v>11</v>
      </c>
      <c r="H26" s="4">
        <v>436</v>
      </c>
      <c r="I26">
        <v>379.5</v>
      </c>
      <c r="J26" t="s">
        <v>11</v>
      </c>
      <c r="K26" s="4">
        <v>606.5</v>
      </c>
      <c r="L26">
        <v>605.5</v>
      </c>
      <c r="M26" t="s">
        <v>11</v>
      </c>
      <c r="N26" s="4">
        <v>459.5</v>
      </c>
      <c r="O26">
        <v>372.5</v>
      </c>
    </row>
    <row r="27" spans="1:15" ht="16.5" thickBot="1" x14ac:dyDescent="0.3">
      <c r="A27" t="s">
        <v>12</v>
      </c>
      <c r="B27" s="4">
        <v>444.5</v>
      </c>
      <c r="C27">
        <v>351.5</v>
      </c>
      <c r="D27" t="s">
        <v>12</v>
      </c>
      <c r="E27" s="4">
        <v>362.5</v>
      </c>
      <c r="F27">
        <v>361</v>
      </c>
      <c r="G27" t="s">
        <v>12</v>
      </c>
      <c r="H27" s="4">
        <v>407.5</v>
      </c>
      <c r="I27">
        <v>242.5</v>
      </c>
      <c r="J27" t="s">
        <v>12</v>
      </c>
      <c r="K27" s="4">
        <v>743</v>
      </c>
      <c r="L27">
        <v>590.5</v>
      </c>
      <c r="M27" t="s">
        <v>12</v>
      </c>
      <c r="N27" s="4">
        <v>454.5</v>
      </c>
      <c r="O27">
        <v>330</v>
      </c>
    </row>
    <row r="28" spans="1:15" ht="16.5" thickTop="1" x14ac:dyDescent="0.25">
      <c r="A28" s="6" t="s">
        <v>13</v>
      </c>
      <c r="B28" s="7">
        <f>SUBTOTAL(1,Table1137[Winner Score])</f>
        <v>474.66666666666669</v>
      </c>
      <c r="C28" s="5">
        <f>SUBTOTAL(1,Table1137[Loser Score])</f>
        <v>349.66666666666669</v>
      </c>
      <c r="D28" s="6" t="s">
        <v>13</v>
      </c>
      <c r="E28" s="7">
        <f>SUBTOTAL(1,Table61438[Winner Score])</f>
        <v>457.16666666666669</v>
      </c>
      <c r="F28" s="5">
        <f>SUBTOTAL(1,Table61438[Loser Score])</f>
        <v>413.33333333333331</v>
      </c>
      <c r="G28" s="6" t="s">
        <v>13</v>
      </c>
      <c r="H28" s="7">
        <f>SUBTOTAL(1,Table1339[Winner Score])</f>
        <v>451.16666666666669</v>
      </c>
      <c r="I28" s="5">
        <f>SUBTOTAL(1,Table1339[Loser Score])</f>
        <v>347.08333333333331</v>
      </c>
      <c r="J28" s="6" t="s">
        <v>13</v>
      </c>
      <c r="K28" s="7">
        <f>SUBTOTAL(1,Table1440[Winner Score])</f>
        <v>669.33333333333337</v>
      </c>
      <c r="L28" s="5">
        <f>SUBTOTAL(1,Table1440[Loser Score])</f>
        <v>592.08333333333337</v>
      </c>
      <c r="M28" s="6" t="s">
        <v>13</v>
      </c>
      <c r="N28" s="7">
        <f>SUBTOTAL(1,Table1541[Winner Score])</f>
        <v>461.5</v>
      </c>
      <c r="O28" s="5">
        <f>SUBTOTAL(1,Table1541[Loser Score])</f>
        <v>347.16666666666669</v>
      </c>
    </row>
    <row r="29" spans="1:15" x14ac:dyDescent="0.25">
      <c r="A29" t="s">
        <v>14</v>
      </c>
      <c r="B29" s="4">
        <f>SUBTOTAL(9,Table1137[Winner Score])</f>
        <v>2848</v>
      </c>
      <c r="C29">
        <f>SUBTOTAL(9,Table1137[Loser Score])</f>
        <v>2098</v>
      </c>
      <c r="D29" t="s">
        <v>14</v>
      </c>
      <c r="E29" s="4">
        <f>SUBTOTAL(9,Table61438[Winner Score])</f>
        <v>2743</v>
      </c>
      <c r="F29">
        <f>SUBTOTAL(9,Table61438[Loser Score])</f>
        <v>2480</v>
      </c>
      <c r="G29" t="s">
        <v>14</v>
      </c>
      <c r="H29" s="4">
        <f>SUBTOTAL(9,Table1339[Winner Score])</f>
        <v>2707</v>
      </c>
      <c r="I29">
        <f>SUBTOTAL(9,Table1339[Loser Score])</f>
        <v>2082.5</v>
      </c>
      <c r="J29" t="s">
        <v>14</v>
      </c>
      <c r="K29" s="4">
        <f>SUBTOTAL(9,Table1440[Winner Score])</f>
        <v>4016</v>
      </c>
      <c r="L29">
        <f>SUBTOTAL(9,Table1440[Loser Score])</f>
        <v>3552.5</v>
      </c>
      <c r="M29" t="s">
        <v>14</v>
      </c>
      <c r="N29" s="4">
        <f>SUBTOTAL(9,Table1541[Winner Score])</f>
        <v>2769</v>
      </c>
      <c r="O29">
        <f>SUBTOTAL(9,Table1541[Loser Score])</f>
        <v>2083</v>
      </c>
    </row>
    <row r="31" spans="1:15" x14ac:dyDescent="0.25">
      <c r="A31" t="s">
        <v>25</v>
      </c>
      <c r="B31" t="s">
        <v>1</v>
      </c>
      <c r="C31" t="s">
        <v>2</v>
      </c>
      <c r="D31" t="s">
        <v>26</v>
      </c>
      <c r="E31" t="s">
        <v>1</v>
      </c>
      <c r="F31" t="s">
        <v>2</v>
      </c>
      <c r="G31" t="s">
        <v>27</v>
      </c>
      <c r="H31" t="s">
        <v>1</v>
      </c>
      <c r="I31" t="s">
        <v>2</v>
      </c>
      <c r="J31" t="s">
        <v>28</v>
      </c>
      <c r="K31" t="s">
        <v>1</v>
      </c>
      <c r="L31" t="s">
        <v>2</v>
      </c>
      <c r="M31" s="9" t="s">
        <v>29</v>
      </c>
      <c r="O31" s="8">
        <f>AVERAGE(B8,E8,H8,K8,N8,B18,E18,H18,K18,N18,B28,E28,H28,K28,N28,B38,E38,H38,K38)</f>
        <v>476.36403508771934</v>
      </c>
    </row>
    <row r="32" spans="1:15" x14ac:dyDescent="0.25">
      <c r="A32" t="s">
        <v>7</v>
      </c>
      <c r="B32" s="4">
        <v>479</v>
      </c>
      <c r="C32">
        <v>342.5</v>
      </c>
      <c r="D32" t="s">
        <v>7</v>
      </c>
      <c r="E32" s="4">
        <v>373.5</v>
      </c>
      <c r="F32">
        <v>303</v>
      </c>
      <c r="G32" t="s">
        <v>7</v>
      </c>
      <c r="H32" s="4">
        <v>373</v>
      </c>
      <c r="I32">
        <v>308</v>
      </c>
      <c r="J32" t="s">
        <v>7</v>
      </c>
      <c r="K32" s="4">
        <v>401.5</v>
      </c>
      <c r="L32">
        <v>365.5</v>
      </c>
      <c r="M32" t="s">
        <v>30</v>
      </c>
      <c r="O32">
        <f>AVERAGE(C8,F8,I8,L8,O8,C18,F18,I18,L18,O18,C28,F28,I28,L28,O28,C38,F38,I38,L38)</f>
        <v>394.46052631578942</v>
      </c>
    </row>
    <row r="33" spans="1:12" x14ac:dyDescent="0.25">
      <c r="A33" t="s">
        <v>8</v>
      </c>
      <c r="B33" s="4">
        <v>431</v>
      </c>
      <c r="C33">
        <v>396.5</v>
      </c>
      <c r="D33" t="s">
        <v>8</v>
      </c>
      <c r="E33" s="4">
        <v>434</v>
      </c>
      <c r="F33">
        <v>429</v>
      </c>
      <c r="G33" t="s">
        <v>8</v>
      </c>
      <c r="H33" s="4">
        <v>460</v>
      </c>
      <c r="I33">
        <v>459.5</v>
      </c>
      <c r="J33" t="s">
        <v>8</v>
      </c>
      <c r="K33" s="4">
        <v>536</v>
      </c>
      <c r="L33">
        <v>418</v>
      </c>
    </row>
    <row r="34" spans="1:12" x14ac:dyDescent="0.25">
      <c r="A34" t="s">
        <v>9</v>
      </c>
      <c r="B34" s="4">
        <v>440</v>
      </c>
      <c r="C34">
        <v>264</v>
      </c>
      <c r="D34" t="s">
        <v>9</v>
      </c>
      <c r="E34" s="4">
        <v>402</v>
      </c>
      <c r="F34">
        <v>384.5</v>
      </c>
      <c r="G34" t="s">
        <v>9</v>
      </c>
      <c r="H34" s="4">
        <v>484.5</v>
      </c>
      <c r="I34">
        <v>328.5</v>
      </c>
      <c r="J34" t="s">
        <v>9</v>
      </c>
      <c r="K34" s="4">
        <v>349.5</v>
      </c>
      <c r="L34">
        <v>278.5</v>
      </c>
    </row>
    <row r="35" spans="1:12" x14ac:dyDescent="0.25">
      <c r="A35" t="s">
        <v>10</v>
      </c>
      <c r="B35" s="4">
        <v>413.5</v>
      </c>
      <c r="C35">
        <v>405</v>
      </c>
      <c r="D35" t="s">
        <v>10</v>
      </c>
      <c r="E35" s="4">
        <v>469.5</v>
      </c>
      <c r="F35">
        <v>208</v>
      </c>
      <c r="G35" t="s">
        <v>10</v>
      </c>
      <c r="H35" s="4">
        <v>532</v>
      </c>
      <c r="I35">
        <v>388</v>
      </c>
      <c r="J35" t="s">
        <v>10</v>
      </c>
      <c r="K35" s="4">
        <v>444.5</v>
      </c>
      <c r="L35">
        <v>340</v>
      </c>
    </row>
    <row r="36" spans="1:12" x14ac:dyDescent="0.25">
      <c r="A36" t="s">
        <v>11</v>
      </c>
      <c r="B36" s="4">
        <v>407</v>
      </c>
      <c r="C36">
        <v>359.5</v>
      </c>
      <c r="D36" t="s">
        <v>11</v>
      </c>
      <c r="E36" s="4">
        <v>584</v>
      </c>
      <c r="F36">
        <v>470</v>
      </c>
      <c r="G36" t="s">
        <v>11</v>
      </c>
      <c r="H36" s="4">
        <v>403.5</v>
      </c>
      <c r="I36">
        <v>396.5</v>
      </c>
      <c r="J36" t="s">
        <v>11</v>
      </c>
      <c r="K36" s="4">
        <v>450</v>
      </c>
      <c r="L36">
        <v>370.5</v>
      </c>
    </row>
    <row r="37" spans="1:12" ht="16.5" thickBot="1" x14ac:dyDescent="0.3">
      <c r="A37" t="s">
        <v>12</v>
      </c>
      <c r="B37" s="4">
        <v>403.5</v>
      </c>
      <c r="C37">
        <v>316</v>
      </c>
      <c r="D37" t="s">
        <v>12</v>
      </c>
      <c r="E37" s="4">
        <v>461</v>
      </c>
      <c r="F37">
        <v>402</v>
      </c>
      <c r="G37" t="s">
        <v>12</v>
      </c>
      <c r="H37" s="4">
        <v>432.5</v>
      </c>
      <c r="I37">
        <v>354.5</v>
      </c>
      <c r="J37" t="s">
        <v>12</v>
      </c>
      <c r="K37" s="4">
        <v>388.5</v>
      </c>
      <c r="L37">
        <v>388.5</v>
      </c>
    </row>
    <row r="38" spans="1:12" ht="16.5" thickTop="1" x14ac:dyDescent="0.25">
      <c r="A38" s="6" t="s">
        <v>13</v>
      </c>
      <c r="B38" s="7">
        <f>SUBTOTAL(1,Table1642[Winner Score])</f>
        <v>429</v>
      </c>
      <c r="C38" s="5">
        <f>SUBTOTAL(1,Table1642[Loser Score])</f>
        <v>347.25</v>
      </c>
      <c r="D38" s="6" t="s">
        <v>13</v>
      </c>
      <c r="E38" s="7">
        <f>SUBTOTAL(1,Table1743[Winner Score])</f>
        <v>454</v>
      </c>
      <c r="F38" s="5">
        <f>SUBTOTAL(1,Table1743[Loser Score])</f>
        <v>366.08333333333331</v>
      </c>
      <c r="G38" s="6" t="s">
        <v>13</v>
      </c>
      <c r="H38" s="7">
        <f>SUBTOTAL(1,Table6142044[Winner Score])</f>
        <v>447.58333333333331</v>
      </c>
      <c r="I38" s="5">
        <f>SUBTOTAL(1,Table6142044[Loser Score])</f>
        <v>372.5</v>
      </c>
      <c r="J38" s="6" t="s">
        <v>13</v>
      </c>
      <c r="K38" s="7">
        <f>SUBTOTAL(1,Table1945[Winner Score])</f>
        <v>428.33333333333331</v>
      </c>
      <c r="L38" s="5">
        <f>SUBTOTAL(1,Table1945[Loser Score])</f>
        <v>360.16666666666669</v>
      </c>
    </row>
    <row r="39" spans="1:12" x14ac:dyDescent="0.25">
      <c r="A39" t="s">
        <v>14</v>
      </c>
      <c r="B39" s="4">
        <f>SUBTOTAL(9,Table1642[Winner Score])</f>
        <v>2574</v>
      </c>
      <c r="C39">
        <f>SUBTOTAL(9,Table1642[Loser Score])</f>
        <v>2083.5</v>
      </c>
      <c r="D39" t="s">
        <v>14</v>
      </c>
      <c r="E39" s="4">
        <f>SUBTOTAL(9,Table1743[Winner Score])</f>
        <v>2724</v>
      </c>
      <c r="F39">
        <f>SUBTOTAL(9,Table1743[Loser Score])</f>
        <v>2196.5</v>
      </c>
      <c r="G39" t="s">
        <v>14</v>
      </c>
      <c r="H39" s="4">
        <f>SUBTOTAL(9,Table6142044[Winner Score])</f>
        <v>2685.5</v>
      </c>
      <c r="I39">
        <f>SUBTOTAL(9,Table6142044[Loser Score])</f>
        <v>2235</v>
      </c>
      <c r="J39" t="s">
        <v>14</v>
      </c>
      <c r="K39" s="4">
        <f>SUBTOTAL(9,Table1945[Winner Score])</f>
        <v>2570</v>
      </c>
      <c r="L39">
        <f>SUBTOTAL(9,Table1945[Loser Score])</f>
        <v>2161</v>
      </c>
    </row>
  </sheetData>
  <pageMargins left="0.7" right="0.7" top="0.75" bottom="0.75" header="0.3" footer="0.3"/>
  <tableParts count="20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4D4F3-2679-6F43-B137-6795082C9B07}">
  <dimension ref="A1:C25"/>
  <sheetViews>
    <sheetView workbookViewId="0">
      <selection activeCell="C14" sqref="C14"/>
    </sheetView>
  </sheetViews>
  <sheetFormatPr defaultColWidth="11" defaultRowHeight="15.75" x14ac:dyDescent="0.25"/>
  <cols>
    <col min="1" max="1" width="39.625" bestFit="1" customWidth="1"/>
    <col min="2" max="3" width="18.125" bestFit="1" customWidth="1"/>
  </cols>
  <sheetData>
    <row r="1" spans="1:3" x14ac:dyDescent="0.25">
      <c r="A1" s="11" t="s">
        <v>31</v>
      </c>
      <c r="B1" s="12" t="s">
        <v>32</v>
      </c>
      <c r="C1" s="13" t="s">
        <v>33</v>
      </c>
    </row>
    <row r="2" spans="1:3" x14ac:dyDescent="0.25">
      <c r="A2" s="14" t="s">
        <v>0</v>
      </c>
      <c r="B2" s="22">
        <f>'2024 Scores'!B8</f>
        <v>300.91666666666669</v>
      </c>
      <c r="C2" s="20">
        <f>'2023 Scores'!B8</f>
        <v>712.75</v>
      </c>
    </row>
    <row r="3" spans="1:3" x14ac:dyDescent="0.25">
      <c r="A3" s="17" t="s">
        <v>3</v>
      </c>
      <c r="B3" s="18">
        <f>'2024 Scores'!E8</f>
        <v>435.16666666666669</v>
      </c>
      <c r="C3" s="19">
        <f>'2023 Scores'!E8</f>
        <v>489.66666666666669</v>
      </c>
    </row>
    <row r="4" spans="1:3" x14ac:dyDescent="0.25">
      <c r="A4" s="14" t="s">
        <v>4</v>
      </c>
      <c r="B4" s="15">
        <f>'2024 Scores'!H8</f>
        <v>452.16666666666669</v>
      </c>
      <c r="C4" s="16">
        <f>'2023 Scores'!H8</f>
        <v>443.16666666666669</v>
      </c>
    </row>
    <row r="5" spans="1:3" x14ac:dyDescent="0.25">
      <c r="A5" s="17" t="s">
        <v>5</v>
      </c>
      <c r="B5" s="18">
        <f>'2024 Scores'!K8</f>
        <v>454.75</v>
      </c>
      <c r="C5" s="19">
        <f>'2023 Scores'!K8</f>
        <v>425.66666666666669</v>
      </c>
    </row>
    <row r="6" spans="1:3" x14ac:dyDescent="0.25">
      <c r="A6" s="14" t="s">
        <v>6</v>
      </c>
      <c r="B6" s="15">
        <f>'2024 Scores'!N8</f>
        <v>469.33333333333331</v>
      </c>
      <c r="C6" s="16">
        <f>'2023 Scores'!N8</f>
        <v>465.5</v>
      </c>
    </row>
    <row r="7" spans="1:3" x14ac:dyDescent="0.25">
      <c r="A7" s="17" t="s">
        <v>15</v>
      </c>
      <c r="B7" s="18">
        <f>'2024 Scores'!B18</f>
        <v>442.75</v>
      </c>
      <c r="C7" s="19">
        <f>'2023 Scores'!B18</f>
        <v>472.58333333333331</v>
      </c>
    </row>
    <row r="8" spans="1:3" x14ac:dyDescent="0.25">
      <c r="A8" s="14" t="s">
        <v>16</v>
      </c>
      <c r="B8" s="15">
        <f>'2024 Scores'!E18</f>
        <v>415.08333333333331</v>
      </c>
      <c r="C8" s="16">
        <f>'2023 Scores'!E18</f>
        <v>463.41666666666669</v>
      </c>
    </row>
    <row r="9" spans="1:3" x14ac:dyDescent="0.25">
      <c r="A9" s="17" t="s">
        <v>17</v>
      </c>
      <c r="B9" s="18">
        <f>'2024 Scores'!H18</f>
        <v>434.91666666666669</v>
      </c>
      <c r="C9" s="19">
        <f>'2023 Scores'!H18</f>
        <v>448</v>
      </c>
    </row>
    <row r="10" spans="1:3" x14ac:dyDescent="0.25">
      <c r="A10" s="14" t="s">
        <v>18</v>
      </c>
      <c r="B10" s="15">
        <f>'2024 Scores'!K18</f>
        <v>469.5</v>
      </c>
      <c r="C10" s="16">
        <f>'2023 Scores'!K18</f>
        <v>420</v>
      </c>
    </row>
    <row r="11" spans="1:3" x14ac:dyDescent="0.25">
      <c r="A11" s="17" t="s">
        <v>19</v>
      </c>
      <c r="B11" s="18">
        <f>'2024 Scores'!N18</f>
        <v>445.91666666666669</v>
      </c>
      <c r="C11" s="19">
        <f>'2023 Scores'!N18</f>
        <v>437.41666666666669</v>
      </c>
    </row>
    <row r="12" spans="1:3" x14ac:dyDescent="0.25">
      <c r="A12" s="14" t="s">
        <v>20</v>
      </c>
      <c r="B12" s="15">
        <f>'2024 Scores'!B28</f>
        <v>429.08333333333331</v>
      </c>
      <c r="C12" s="16">
        <f>'2023 Scores'!B28</f>
        <v>474.66666666666669</v>
      </c>
    </row>
    <row r="13" spans="1:3" x14ac:dyDescent="0.25">
      <c r="A13" s="17" t="s">
        <v>21</v>
      </c>
      <c r="B13" s="18">
        <f>'2024 Scores'!E28</f>
        <v>429.5</v>
      </c>
      <c r="C13" s="19">
        <f>'2023 Scores'!E28</f>
        <v>457.16666666666669</v>
      </c>
    </row>
    <row r="14" spans="1:3" x14ac:dyDescent="0.25">
      <c r="A14" s="14" t="s">
        <v>22</v>
      </c>
      <c r="B14" s="15">
        <f>'2024 Scores'!H28</f>
        <v>461.58333333333331</v>
      </c>
      <c r="C14" s="16">
        <f>'2023 Scores'!H28</f>
        <v>451.16666666666669</v>
      </c>
    </row>
    <row r="15" spans="1:3" x14ac:dyDescent="0.25">
      <c r="A15" s="17" t="s">
        <v>23</v>
      </c>
      <c r="B15" s="18">
        <f>'2024 Scores'!K28</f>
        <v>476.16666666666669</v>
      </c>
      <c r="C15" s="21">
        <f>'2023 Scores'!K28</f>
        <v>669.33333333333337</v>
      </c>
    </row>
    <row r="16" spans="1:3" x14ac:dyDescent="0.25">
      <c r="A16" s="14" t="s">
        <v>24</v>
      </c>
      <c r="B16" s="15">
        <f>'2024 Scores'!N28</f>
        <v>457.16666666666669</v>
      </c>
      <c r="C16" s="16">
        <f>'2023 Scores'!N28</f>
        <v>461.5</v>
      </c>
    </row>
    <row r="17" spans="1:3" x14ac:dyDescent="0.25">
      <c r="A17" s="17" t="s">
        <v>25</v>
      </c>
      <c r="B17" s="23">
        <f>'2024 Scores'!B38</f>
        <v>646.33333333333337</v>
      </c>
      <c r="C17" s="19">
        <f>'2023 Scores'!B38</f>
        <v>429</v>
      </c>
    </row>
    <row r="18" spans="1:3" x14ac:dyDescent="0.25">
      <c r="A18" s="14" t="s">
        <v>26</v>
      </c>
      <c r="B18" s="15">
        <f>'2024 Scores'!E38</f>
        <v>458</v>
      </c>
      <c r="C18" s="16">
        <f>'2023 Scores'!E38</f>
        <v>454</v>
      </c>
    </row>
    <row r="19" spans="1:3" x14ac:dyDescent="0.25">
      <c r="A19" s="17" t="s">
        <v>27</v>
      </c>
      <c r="B19" s="18">
        <f>'2024 Scores'!H38</f>
        <v>403.08333333333331</v>
      </c>
      <c r="C19" s="19">
        <f>'2023 Scores'!H38</f>
        <v>447.58333333333331</v>
      </c>
    </row>
    <row r="20" spans="1:3" x14ac:dyDescent="0.25">
      <c r="A20" s="1" t="s">
        <v>28</v>
      </c>
      <c r="B20" s="2">
        <f>'2024 Scores'!K38</f>
        <v>469.83333333333331</v>
      </c>
      <c r="C20" s="3">
        <f>'2023 Scores'!K38</f>
        <v>428.33333333333331</v>
      </c>
    </row>
    <row r="21" spans="1:3" ht="21" x14ac:dyDescent="0.35">
      <c r="A21" s="24" t="s">
        <v>34</v>
      </c>
      <c r="B21" s="25">
        <f>AVERAGE(B2:B20)</f>
        <v>450.06578947368422</v>
      </c>
      <c r="C21" s="25">
        <f>AVERAGE(C2:C20)</f>
        <v>476.36403508771934</v>
      </c>
    </row>
    <row r="22" spans="1:3" ht="21" x14ac:dyDescent="0.35">
      <c r="A22" s="24" t="s">
        <v>35</v>
      </c>
      <c r="B22" s="28">
        <f>AVERAGE(B3:B16,B18:B20)</f>
        <v>447.29411764705884</v>
      </c>
      <c r="C22" s="28">
        <f>AVERAGE(C3:C14,C16:C20)</f>
        <v>451.10784313725486</v>
      </c>
    </row>
    <row r="24" spans="1:3" ht="26.25" x14ac:dyDescent="0.4">
      <c r="A24" s="26" t="s">
        <v>36</v>
      </c>
      <c r="C24" s="26">
        <f>AVERAGE(B21:C21)</f>
        <v>463.21491228070181</v>
      </c>
    </row>
    <row r="25" spans="1:3" ht="26.25" x14ac:dyDescent="0.4">
      <c r="A25" s="27" t="s">
        <v>37</v>
      </c>
      <c r="B25" s="10"/>
      <c r="C25" s="29">
        <f>AVERAGE(B22:C22)</f>
        <v>449.20098039215685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8C449-CFE2-944E-8605-23D28355A212}">
  <dimension ref="A1:M22"/>
  <sheetViews>
    <sheetView tabSelected="1" zoomScale="50" zoomScaleNormal="50" workbookViewId="0">
      <selection activeCell="I19" sqref="I19"/>
    </sheetView>
  </sheetViews>
  <sheetFormatPr defaultColWidth="11" defaultRowHeight="15.75" x14ac:dyDescent="0.25"/>
  <cols>
    <col min="1" max="1" width="11" customWidth="1"/>
    <col min="2" max="2" width="19.375" bestFit="1" customWidth="1"/>
    <col min="3" max="3" width="11.375" bestFit="1" customWidth="1"/>
    <col min="4" max="5" width="7.625" bestFit="1" customWidth="1"/>
    <col min="6" max="6" width="9.125" customWidth="1"/>
    <col min="7" max="7" width="11.5" customWidth="1"/>
    <col min="8" max="8" width="14.125" customWidth="1"/>
    <col min="9" max="9" width="10.5" customWidth="1"/>
    <col min="11" max="11" width="34.625" customWidth="1"/>
    <col min="12" max="12" width="13.5" customWidth="1"/>
    <col min="13" max="13" width="32.375" customWidth="1"/>
  </cols>
  <sheetData>
    <row r="1" spans="1:13" x14ac:dyDescent="0.25">
      <c r="A1" s="4"/>
      <c r="B1" s="31"/>
    </row>
    <row r="2" spans="1:13" x14ac:dyDescent="0.25">
      <c r="A2" s="32" t="s">
        <v>47</v>
      </c>
      <c r="F2" s="32" t="s">
        <v>48</v>
      </c>
      <c r="K2" s="33" t="s">
        <v>49</v>
      </c>
      <c r="M2" s="34" t="s">
        <v>53</v>
      </c>
    </row>
    <row r="3" spans="1:13" x14ac:dyDescent="0.25">
      <c r="A3" s="30" t="s">
        <v>38</v>
      </c>
      <c r="B3" s="30">
        <v>12</v>
      </c>
      <c r="C3" s="30" t="s">
        <v>50</v>
      </c>
      <c r="D3" s="30">
        <f>SUM(B3:B9)</f>
        <v>164</v>
      </c>
      <c r="F3" s="30" t="s">
        <v>38</v>
      </c>
      <c r="G3" s="30">
        <v>13</v>
      </c>
      <c r="H3" s="30" t="s">
        <v>50</v>
      </c>
      <c r="I3" s="30">
        <f>SUM(G3:G9)</f>
        <v>170</v>
      </c>
      <c r="K3" s="30" t="s">
        <v>38</v>
      </c>
      <c r="L3">
        <f>AVERAGE(Table20[[#This Row],[Column2]],Table2023[[#This Row],[Column2]],B14)</f>
        <v>13.333333333333334</v>
      </c>
      <c r="M3">
        <f>ROUNDUP(Table23[[#This Row],[Column2]]*1.2,0)</f>
        <v>16</v>
      </c>
    </row>
    <row r="4" spans="1:13" x14ac:dyDescent="0.25">
      <c r="A4" s="30" t="s">
        <v>39</v>
      </c>
      <c r="B4" s="30">
        <v>25</v>
      </c>
      <c r="C4" s="30" t="s">
        <v>51</v>
      </c>
      <c r="D4" s="30">
        <f>SUM(B10:B11)</f>
        <v>139</v>
      </c>
      <c r="F4" s="30" t="s">
        <v>39</v>
      </c>
      <c r="G4" s="30">
        <v>22</v>
      </c>
      <c r="H4" s="30" t="s">
        <v>51</v>
      </c>
      <c r="I4" s="30">
        <f>SUM(G10:G11)</f>
        <v>129</v>
      </c>
      <c r="K4" s="30" t="s">
        <v>39</v>
      </c>
      <c r="L4">
        <f>AVERAGE(Table20[[#This Row],[Column2]],Table2023[[#This Row],[Column2]],B15)</f>
        <v>24</v>
      </c>
      <c r="M4">
        <f>ROUNDUP(Table23[[#This Row],[Column2]]*1.2,0)</f>
        <v>29</v>
      </c>
    </row>
    <row r="5" spans="1:13" x14ac:dyDescent="0.25">
      <c r="A5" s="30" t="s">
        <v>40</v>
      </c>
      <c r="B5" s="30">
        <v>17</v>
      </c>
      <c r="C5" s="30" t="s">
        <v>14</v>
      </c>
      <c r="D5">
        <f xml:space="preserve"> SUM(D3:D4)</f>
        <v>303</v>
      </c>
      <c r="F5" s="30" t="s">
        <v>40</v>
      </c>
      <c r="G5" s="30">
        <v>23</v>
      </c>
      <c r="H5" s="30" t="s">
        <v>14</v>
      </c>
      <c r="I5">
        <f>SUM(I3:I4)</f>
        <v>299</v>
      </c>
      <c r="K5" s="30" t="s">
        <v>40</v>
      </c>
      <c r="L5">
        <f>AVERAGE(Table20[[#This Row],[Column2]],Table2023[[#This Row],[Column2]],B16)</f>
        <v>20</v>
      </c>
      <c r="M5">
        <f>ROUNDUP(Table23[[#This Row],[Column2]]*1.2,0)</f>
        <v>24</v>
      </c>
    </row>
    <row r="6" spans="1:13" x14ac:dyDescent="0.25">
      <c r="A6" s="30" t="s">
        <v>41</v>
      </c>
      <c r="B6" s="30">
        <v>21</v>
      </c>
      <c r="F6" s="30" t="s">
        <v>41</v>
      </c>
      <c r="G6" s="30">
        <v>23</v>
      </c>
      <c r="K6" s="30" t="s">
        <v>41</v>
      </c>
      <c r="L6">
        <f>AVERAGE(Table20[[#This Row],[Column2]],Table2023[[#This Row],[Column2]],B17)</f>
        <v>20.666666666666668</v>
      </c>
      <c r="M6">
        <f>ROUNDUP(Table23[[#This Row],[Column2]]*1.2,0)</f>
        <v>25</v>
      </c>
    </row>
    <row r="7" spans="1:13" x14ac:dyDescent="0.25">
      <c r="A7" s="30" t="s">
        <v>42</v>
      </c>
      <c r="B7" s="30">
        <v>23</v>
      </c>
      <c r="F7" s="30" t="s">
        <v>42</v>
      </c>
      <c r="G7" s="30">
        <v>19</v>
      </c>
      <c r="K7" s="30" t="s">
        <v>42</v>
      </c>
      <c r="L7">
        <f>AVERAGE(Table20[[#This Row],[Column2]],Table2023[[#This Row],[Column2]],B18)</f>
        <v>21.333333333333332</v>
      </c>
      <c r="M7">
        <f>ROUNDUP(Table23[[#This Row],[Column2]]*1.2,0)</f>
        <v>26</v>
      </c>
    </row>
    <row r="8" spans="1:13" x14ac:dyDescent="0.25">
      <c r="A8" s="30" t="s">
        <v>43</v>
      </c>
      <c r="B8" s="30">
        <v>55</v>
      </c>
      <c r="F8" s="30" t="s">
        <v>43</v>
      </c>
      <c r="G8" s="30">
        <v>56</v>
      </c>
      <c r="K8" s="30" t="s">
        <v>43</v>
      </c>
      <c r="L8">
        <f>AVERAGE(Table20[[#This Row],[Column2]],Table2023[[#This Row],[Column2]],B19)</f>
        <v>55</v>
      </c>
      <c r="M8">
        <f>ROUNDUP(Table23[[#This Row],[Column2]]*1.2,0)</f>
        <v>66</v>
      </c>
    </row>
    <row r="9" spans="1:13" x14ac:dyDescent="0.25">
      <c r="A9" s="30" t="s">
        <v>44</v>
      </c>
      <c r="B9" s="30">
        <v>11</v>
      </c>
      <c r="F9" s="30" t="s">
        <v>44</v>
      </c>
      <c r="G9" s="30">
        <v>14</v>
      </c>
      <c r="K9" s="30" t="s">
        <v>44</v>
      </c>
      <c r="L9">
        <f>AVERAGE(Table20[[#This Row],[Column2]],Table2023[[#This Row],[Column2]],B20)</f>
        <v>13.666666666666666</v>
      </c>
      <c r="M9">
        <f>ROUNDUP(Table23[[#This Row],[Column2]]*1.2,0)</f>
        <v>17</v>
      </c>
    </row>
    <row r="10" spans="1:13" x14ac:dyDescent="0.25">
      <c r="A10" s="30" t="s">
        <v>45</v>
      </c>
      <c r="B10" s="30">
        <v>112</v>
      </c>
      <c r="F10" s="30" t="s">
        <v>45</v>
      </c>
      <c r="G10" s="30">
        <v>98</v>
      </c>
      <c r="K10" s="30" t="s">
        <v>45</v>
      </c>
      <c r="L10">
        <f>AVERAGE(Table20[[#This Row],[Column2]],Table2023[[#This Row],[Column2]],B21)</f>
        <v>104.33333333333333</v>
      </c>
      <c r="M10">
        <f>ROUNDUP(Table23[[#This Row],[Column2]]*1.2,0)</f>
        <v>126</v>
      </c>
    </row>
    <row r="11" spans="1:13" x14ac:dyDescent="0.25">
      <c r="A11" s="30" t="s">
        <v>46</v>
      </c>
      <c r="B11" s="30">
        <v>27</v>
      </c>
      <c r="F11" s="30" t="s">
        <v>46</v>
      </c>
      <c r="G11" s="30">
        <v>31</v>
      </c>
      <c r="K11" s="30" t="s">
        <v>46</v>
      </c>
      <c r="L11">
        <f>AVERAGE(Table20[[#This Row],[Column2]],Table2023[[#This Row],[Column2]],B22)</f>
        <v>29</v>
      </c>
      <c r="M11">
        <f>ROUNDUP(Table23[[#This Row],[Column2]]*1.2,0)</f>
        <v>35</v>
      </c>
    </row>
    <row r="13" spans="1:13" x14ac:dyDescent="0.25">
      <c r="A13" s="32" t="s">
        <v>52</v>
      </c>
      <c r="K13" s="30" t="s">
        <v>50</v>
      </c>
      <c r="L13">
        <f>AVERAGE(I3,D3,D14)</f>
        <v>168</v>
      </c>
      <c r="M13">
        <f>ROUNDUP(Table23[[#This Row],[Column2]]*1.2,0)</f>
        <v>202</v>
      </c>
    </row>
    <row r="14" spans="1:13" x14ac:dyDescent="0.25">
      <c r="A14" s="30" t="s">
        <v>38</v>
      </c>
      <c r="B14" s="30">
        <v>15</v>
      </c>
      <c r="C14" s="30" t="s">
        <v>50</v>
      </c>
      <c r="D14" s="30">
        <f>SUM(B14:B20)</f>
        <v>170</v>
      </c>
      <c r="K14" s="30" t="s">
        <v>51</v>
      </c>
      <c r="L14">
        <f>AVERAGE(I4,D4,D15)</f>
        <v>133.33333333333334</v>
      </c>
      <c r="M14">
        <f>ROUNDUP(Table23[[#This Row],[Column2]]*1.2,0)</f>
        <v>160</v>
      </c>
    </row>
    <row r="15" spans="1:13" x14ac:dyDescent="0.25">
      <c r="A15" s="30" t="s">
        <v>39</v>
      </c>
      <c r="B15" s="30">
        <v>25</v>
      </c>
      <c r="C15" s="30" t="s">
        <v>51</v>
      </c>
      <c r="D15" s="30">
        <f>SUM(B21:B22)</f>
        <v>132</v>
      </c>
      <c r="K15" s="30" t="s">
        <v>14</v>
      </c>
      <c r="L15">
        <f>AVERAGE(I5,D5,D16)</f>
        <v>301.33333333333331</v>
      </c>
      <c r="M15">
        <f>ROUNDUP(Table23[[#This Row],[Column2]]*1.2,0)</f>
        <v>362</v>
      </c>
    </row>
    <row r="16" spans="1:13" x14ac:dyDescent="0.25">
      <c r="A16" s="30" t="s">
        <v>40</v>
      </c>
      <c r="B16" s="30">
        <v>20</v>
      </c>
      <c r="C16" s="30" t="s">
        <v>14</v>
      </c>
      <c r="D16">
        <f xml:space="preserve"> SUM(D14:D15)</f>
        <v>302</v>
      </c>
    </row>
    <row r="17" spans="1:2" x14ac:dyDescent="0.25">
      <c r="A17" s="30" t="s">
        <v>41</v>
      </c>
      <c r="B17" s="30">
        <v>18</v>
      </c>
    </row>
    <row r="18" spans="1:2" x14ac:dyDescent="0.25">
      <c r="A18" s="30" t="s">
        <v>42</v>
      </c>
      <c r="B18" s="30">
        <v>22</v>
      </c>
    </row>
    <row r="19" spans="1:2" x14ac:dyDescent="0.25">
      <c r="A19" s="30" t="s">
        <v>43</v>
      </c>
      <c r="B19" s="30">
        <v>54</v>
      </c>
    </row>
    <row r="20" spans="1:2" x14ac:dyDescent="0.25">
      <c r="A20" s="30" t="s">
        <v>44</v>
      </c>
      <c r="B20" s="30">
        <v>16</v>
      </c>
    </row>
    <row r="21" spans="1:2" x14ac:dyDescent="0.25">
      <c r="A21" s="30" t="s">
        <v>45</v>
      </c>
      <c r="B21" s="30">
        <v>103</v>
      </c>
    </row>
    <row r="22" spans="1:2" x14ac:dyDescent="0.25">
      <c r="A22" s="30" t="s">
        <v>46</v>
      </c>
      <c r="B22" s="30">
        <v>29</v>
      </c>
    </row>
  </sheetData>
  <phoneticPr fontId="3" type="noConversion"/>
  <pageMargins left="0.7" right="0.7" top="0.75" bottom="0.75" header="0.3" footer="0.3"/>
  <ignoredErrors>
    <ignoredError sqref="D3:D4 I3:I4" formulaRange="1"/>
  </ignoredErrors>
  <tableParts count="4">
    <tablePart r:id="rId1"/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2024 Scores</vt:lpstr>
      <vt:lpstr>2023 Scores</vt:lpstr>
      <vt:lpstr>Scores Analysis</vt:lpstr>
      <vt:lpstr>Replacement Level FPts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Lee, Odin T.</dc:creator>
  <cp:keywords/>
  <dc:description/>
  <cp:lastModifiedBy>Lee, Odin T.</cp:lastModifiedBy>
  <cp:revision/>
  <dcterms:created xsi:type="dcterms:W3CDTF">2025-03-02T21:43:18Z</dcterms:created>
  <dcterms:modified xsi:type="dcterms:W3CDTF">2026-03-10T20:27:49Z</dcterms:modified>
  <cp:category/>
  <cp:contentStatus/>
</cp:coreProperties>
</file>